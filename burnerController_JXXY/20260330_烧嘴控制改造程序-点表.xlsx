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E:\codes\04-electricity\01-plc\江铜\burnerControler_JXT\burnerController_JXXY\"/>
    </mc:Choice>
  </mc:AlternateContent>
  <xr:revisionPtr revIDLastSave="0" documentId="13_ncr:1_{D55386B8-0723-4115-B4DE-2E7F4306434F}" xr6:coauthVersionLast="47" xr6:coauthVersionMax="47" xr10:uidLastSave="{00000000-0000-0000-0000-000000000000}"/>
  <bookViews>
    <workbookView xWindow="1065" yWindow="2685" windowWidth="21600" windowHeight="11295" tabRatio="622" activeTab="4" xr2:uid="{2BCBB78C-AFBE-4F13-8C2E-200396EF23E4}"/>
  </bookViews>
  <sheets>
    <sheet name="命名规范" sheetId="8" r:id="rId1"/>
    <sheet name="测试" sheetId="15" r:id="rId2"/>
    <sheet name="端子1" sheetId="1" r:id="rId3"/>
    <sheet name="符号表" sheetId="7" r:id="rId4"/>
    <sheet name="通讯" sheetId="5" r:id="rId5"/>
    <sheet name="符号模板" sheetId="9" r:id="rId6"/>
    <sheet name="1英文命名" sheetId="11" r:id="rId7"/>
    <sheet name="2命名后改地址" sheetId="12" r:id="rId8"/>
    <sheet name="3符号地址校验" sheetId="13" r:id="rId9"/>
    <sheet name="地址检验" sheetId="16" r:id="rId10"/>
    <sheet name="IO分配表" sheetId="14" r:id="rId11"/>
    <sheet name="数据项" sheetId="6" r:id="rId12"/>
  </sheets>
  <definedNames>
    <definedName name="_xlnm._FilterDatabase" localSheetId="6" hidden="1">'1英文命名'!$C$1:$E$76</definedName>
    <definedName name="_xlnm._FilterDatabase" localSheetId="7" hidden="1">'2命名后改地址'!$C$1:$E$75</definedName>
    <definedName name="_xlnm._FilterDatabase" localSheetId="8" hidden="1">'3符号地址校验'!$E$1:$G$74</definedName>
    <definedName name="_xlnm._FilterDatabase" localSheetId="2" hidden="1">端子1!$C$1:$E$76</definedName>
    <definedName name="_xlnm._FilterDatabase" localSheetId="3" hidden="1">符号表!$C$1:$E$61</definedName>
    <definedName name="_xlnm.Print_Area" localSheetId="6">'1英文命名'!#REF!</definedName>
    <definedName name="_xlnm.Print_Area" localSheetId="7">'2命名后改地址'!#REF!</definedName>
    <definedName name="_xlnm.Print_Area" localSheetId="8">'3符号地址校验'!#REF!</definedName>
    <definedName name="_xlnm.Print_Area" localSheetId="2">端子1!#REF!</definedName>
    <definedName name="_xlnm.Print_Area" localSheetId="3">符号表!#REF!</definedName>
    <definedName name="_xlnm.Print_Titles" localSheetId="1">测试!$1:$1</definedName>
    <definedName name="VW区" localSheetId="6">'1英文命名'!#REF!</definedName>
    <definedName name="VW区" localSheetId="7">'2命名后改地址'!#REF!</definedName>
    <definedName name="VW区" localSheetId="8">'3符号地址校验'!#REF!</definedName>
    <definedName name="VW区" localSheetId="3">符号表!#REF!</definedName>
    <definedName name="VW区">端子1!#REF!</definedName>
    <definedName name="V区" localSheetId="6">'1英文命名'!#REF!</definedName>
    <definedName name="V区" localSheetId="7">'2命名后改地址'!#REF!</definedName>
    <definedName name="V区" localSheetId="8">'3符号地址校验'!#REF!</definedName>
    <definedName name="V区" localSheetId="3">符号表!#REF!</definedName>
    <definedName name="V区">端子1!#REF!</definedName>
  </definedNames>
  <calcPr calcId="181029"/>
</workbook>
</file>

<file path=xl/calcChain.xml><?xml version="1.0" encoding="utf-8"?>
<calcChain xmlns="http://schemas.openxmlformats.org/spreadsheetml/2006/main">
  <c r="L1" i="16" l="1"/>
  <c r="I1" i="16" a="1"/>
  <c r="I1" i="16" s="1"/>
  <c r="J1" i="16" s="1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2" i="16"/>
  <c r="A237" i="13" a="1"/>
  <c r="A237" i="13" s="1"/>
  <c r="B237" i="13" s="1"/>
  <c r="D237" i="13"/>
  <c r="A238" i="13" a="1"/>
  <c r="A238" i="13" s="1"/>
  <c r="B238" i="13" s="1"/>
  <c r="D238" i="13"/>
  <c r="A239" i="13" a="1"/>
  <c r="A239" i="13" s="1"/>
  <c r="B239" i="13" s="1"/>
  <c r="D239" i="13"/>
  <c r="A240" i="13" a="1"/>
  <c r="A240" i="13" s="1"/>
  <c r="B240" i="13" s="1"/>
  <c r="D240" i="13"/>
  <c r="A241" i="13" a="1"/>
  <c r="A241" i="13" s="1"/>
  <c r="B241" i="13" s="1"/>
  <c r="D241" i="13"/>
  <c r="A242" i="13" a="1"/>
  <c r="A242" i="13" s="1"/>
  <c r="B242" i="13" s="1"/>
  <c r="D242" i="13"/>
  <c r="A243" i="13" a="1"/>
  <c r="A243" i="13" s="1"/>
  <c r="B243" i="13" s="1"/>
  <c r="D243" i="13"/>
  <c r="A244" i="13" a="1"/>
  <c r="A244" i="13" s="1"/>
  <c r="B244" i="13" s="1"/>
  <c r="D244" i="13"/>
  <c r="A245" i="13" a="1"/>
  <c r="A245" i="13" s="1"/>
  <c r="B245" i="13" s="1"/>
  <c r="D245" i="13"/>
  <c r="A246" i="13" a="1"/>
  <c r="A246" i="13" s="1"/>
  <c r="B246" i="13" s="1"/>
  <c r="D246" i="13"/>
  <c r="A247" i="13" a="1"/>
  <c r="A247" i="13" s="1"/>
  <c r="B247" i="13" s="1"/>
  <c r="D247" i="13"/>
  <c r="A248" i="13" a="1"/>
  <c r="A248" i="13" s="1"/>
  <c r="B248" i="13" s="1"/>
  <c r="D248" i="13"/>
  <c r="A249" i="13" a="1"/>
  <c r="A249" i="13" s="1"/>
  <c r="B249" i="13" s="1"/>
  <c r="D249" i="13"/>
  <c r="A250" i="13" a="1"/>
  <c r="A250" i="13" s="1"/>
  <c r="B250" i="13" s="1"/>
  <c r="D250" i="13"/>
  <c r="A251" i="13" a="1"/>
  <c r="A251" i="13" s="1"/>
  <c r="B251" i="13" s="1"/>
  <c r="D251" i="13"/>
  <c r="A252" i="13" a="1"/>
  <c r="A252" i="13" s="1"/>
  <c r="B252" i="13" s="1"/>
  <c r="D252" i="13"/>
  <c r="A253" i="13" a="1"/>
  <c r="A253" i="13" s="1"/>
  <c r="B253" i="13" s="1"/>
  <c r="D253" i="13"/>
  <c r="A254" i="13" a="1"/>
  <c r="A254" i="13" s="1"/>
  <c r="B254" i="13" s="1"/>
  <c r="D254" i="13"/>
  <c r="A255" i="13" a="1"/>
  <c r="A255" i="13" s="1"/>
  <c r="B255" i="13" s="1"/>
  <c r="D255" i="13"/>
  <c r="A256" i="13" a="1"/>
  <c r="A256" i="13" s="1"/>
  <c r="B256" i="13" s="1"/>
  <c r="D256" i="13"/>
  <c r="A257" i="13" a="1"/>
  <c r="A257" i="13" s="1"/>
  <c r="B257" i="13" s="1"/>
  <c r="D257" i="13"/>
  <c r="A236" i="13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 s="1"/>
  <c r="B224" i="13" s="1"/>
  <c r="D224" i="13"/>
  <c r="A225" i="13" a="1"/>
  <c r="A225" i="13" s="1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 s="1"/>
  <c r="B228" i="13" s="1"/>
  <c r="D228" i="13"/>
  <c r="A229" i="13" a="1"/>
  <c r="A229" i="13" s="1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 s="1"/>
  <c r="B232" i="13" s="1"/>
  <c r="D232" i="13"/>
  <c r="A233" i="13" a="1"/>
  <c r="A233" i="13" s="1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 s="1"/>
  <c r="B121" i="13" s="1"/>
  <c r="D121" i="13"/>
  <c r="A122" i="13" a="1"/>
  <c r="A122" i="13" s="1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 s="1"/>
  <c r="B97" i="13" s="1"/>
  <c r="D97" i="13"/>
  <c r="A98" i="13" a="1"/>
  <c r="A98" i="13" s="1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 s="1"/>
  <c r="B101" i="13" s="1"/>
  <c r="D101" i="13"/>
  <c r="A102" i="13" a="1"/>
  <c r="A102" i="13" s="1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 s="1"/>
  <c r="B201" i="13" s="1"/>
  <c r="D201" i="13"/>
  <c r="A202" i="13" a="1"/>
  <c r="A202" i="13" s="1"/>
  <c r="B202" i="13" s="1"/>
  <c r="D202" i="13"/>
  <c r="D17" i="5"/>
  <c r="D16" i="5"/>
  <c r="A215" i="13" a="1"/>
  <c r="A215" i="13" s="1"/>
  <c r="B215" i="13" s="1"/>
  <c r="A216" i="13" a="1"/>
  <c r="A216" i="13" s="1"/>
  <c r="B216" i="13" s="1"/>
  <c r="A217" i="13" a="1"/>
  <c r="A217" i="13" s="1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25" i="13"/>
  <c r="D26" i="13"/>
  <c r="D27" i="13"/>
  <c r="D28" i="13"/>
  <c r="D29" i="13"/>
  <c r="D30" i="13"/>
  <c r="D31" i="13"/>
  <c r="D32" i="13"/>
  <c r="D33" i="13"/>
  <c r="D34" i="13"/>
  <c r="D35" i="13"/>
  <c r="D72" i="13"/>
  <c r="D36" i="13"/>
  <c r="D37" i="13"/>
  <c r="D38" i="13"/>
  <c r="D39" i="13"/>
  <c r="D40" i="13"/>
  <c r="D41" i="13"/>
  <c r="D42" i="13"/>
  <c r="D61" i="13"/>
  <c r="D62" i="13"/>
  <c r="D63" i="13"/>
  <c r="D64" i="13"/>
  <c r="D65" i="13"/>
  <c r="D66" i="13"/>
  <c r="D49" i="13"/>
  <c r="D50" i="13"/>
  <c r="D51" i="13"/>
  <c r="D52" i="13"/>
  <c r="D53" i="13"/>
  <c r="D54" i="13"/>
  <c r="D55" i="13"/>
  <c r="D56" i="13"/>
  <c r="D67" i="13"/>
  <c r="D68" i="13"/>
  <c r="D69" i="13"/>
  <c r="D70" i="13"/>
  <c r="D71" i="13"/>
  <c r="D43" i="13"/>
  <c r="D44" i="13"/>
  <c r="D45" i="13"/>
  <c r="D46" i="13"/>
  <c r="D47" i="13"/>
  <c r="D48" i="13"/>
  <c r="D57" i="13"/>
  <c r="D58" i="13"/>
  <c r="D59" i="13"/>
  <c r="D60" i="13"/>
  <c r="D73" i="13"/>
  <c r="D74" i="13"/>
  <c r="D75" i="13"/>
  <c r="D76" i="13"/>
  <c r="D77" i="13"/>
  <c r="D78" i="13"/>
  <c r="D19" i="13"/>
  <c r="D20" i="13"/>
  <c r="D21" i="13"/>
  <c r="D22" i="13"/>
  <c r="D23" i="13"/>
  <c r="D24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 s="1"/>
  <c r="B204" i="13" s="1"/>
  <c r="A209" i="13" a="1"/>
  <c r="A209" i="13" s="1"/>
  <c r="B209" i="13" s="1"/>
  <c r="A205" i="13" a="1"/>
  <c r="A205" i="13" s="1"/>
  <c r="B205" i="13" s="1"/>
  <c r="A206" i="13" a="1"/>
  <c r="A206" i="13" s="1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 s="1"/>
  <c r="B198" i="13" s="1"/>
  <c r="A197" i="13" a="1"/>
  <c r="A197" i="13" s="1"/>
  <c r="B197" i="13" s="1"/>
  <c r="A223" i="13" a="1"/>
  <c r="A223" i="13" s="1"/>
  <c r="B223" i="13" s="1"/>
  <c r="A222" i="13" a="1"/>
  <c r="A222" i="13" s="1"/>
  <c r="B222" i="13" s="1"/>
  <c r="A221" i="13" a="1"/>
  <c r="A221" i="13" s="1"/>
  <c r="B221" i="13" s="1"/>
  <c r="A220" i="13" a="1"/>
  <c r="A220" i="13" s="1"/>
  <c r="B220" i="13" s="1"/>
  <c r="A207" i="13" a="1"/>
  <c r="A207" i="13" s="1"/>
  <c r="B207" i="13" s="1"/>
  <c r="A219" i="13" a="1"/>
  <c r="A219" i="13" s="1"/>
  <c r="B219" i="13" s="1"/>
  <c r="A218" i="13" a="1"/>
  <c r="A218" i="13" s="1"/>
  <c r="B218" i="13" s="1"/>
  <c r="A214" i="13" a="1"/>
  <c r="A214" i="13" s="1"/>
  <c r="B214" i="13" s="1"/>
  <c r="A213" i="13" a="1"/>
  <c r="A213" i="13" s="1"/>
  <c r="B213" i="13" s="1"/>
  <c r="A212" i="13" a="1"/>
  <c r="A212" i="13" s="1"/>
  <c r="B212" i="13" s="1"/>
  <c r="A211" i="13" a="1"/>
  <c r="A211" i="13" s="1"/>
  <c r="B211" i="13" s="1"/>
  <c r="A210" i="13" a="1"/>
  <c r="A210" i="13" s="1"/>
  <c r="B210" i="13" s="1"/>
  <c r="A208" i="13" a="1"/>
  <c r="A208" i="13" s="1"/>
  <c r="B208" i="13" s="1"/>
  <c r="A183" i="13" a="1"/>
  <c r="A183" i="13" s="1"/>
  <c r="B183" i="13" s="1"/>
  <c r="A182" i="13" a="1"/>
  <c r="A182" i="13" s="1"/>
  <c r="B182" i="13" s="1"/>
  <c r="A181" i="13" a="1"/>
  <c r="A181" i="13" s="1"/>
  <c r="B181" i="13" s="1"/>
  <c r="A180" i="13" a="1"/>
  <c r="A180" i="13" s="1"/>
  <c r="B180" i="13" s="1"/>
  <c r="A176" i="13" a="1"/>
  <c r="A176" i="13" s="1"/>
  <c r="B176" i="13" s="1"/>
  <c r="A175" i="13" a="1"/>
  <c r="A175" i="13" s="1"/>
  <c r="B175" i="13" s="1"/>
  <c r="A172" i="13" a="1"/>
  <c r="A172" i="13" s="1"/>
  <c r="B172" i="13" s="1"/>
  <c r="A171" i="13" a="1"/>
  <c r="A171" i="13" s="1"/>
  <c r="B171" i="13" s="1"/>
  <c r="A170" i="13" a="1"/>
  <c r="A170" i="13" s="1"/>
  <c r="B170" i="13" s="1"/>
  <c r="A169" i="13" a="1"/>
  <c r="A169" i="13" s="1"/>
  <c r="B169" i="13" s="1"/>
  <c r="A168" i="13" a="1"/>
  <c r="A168" i="13" s="1"/>
  <c r="B168" i="13" s="1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 s="1"/>
  <c r="B164" i="13" s="1"/>
  <c r="A162" i="13" a="1"/>
  <c r="A162" i="13" s="1"/>
  <c r="B162" i="13" s="1"/>
  <c r="A160" i="13" a="1"/>
  <c r="A160" i="13" s="1"/>
  <c r="B160" i="13" s="1"/>
  <c r="A159" i="13" a="1"/>
  <c r="A159" i="13" s="1"/>
  <c r="B159" i="13" s="1"/>
  <c r="A158" i="13" a="1"/>
  <c r="A158" i="13" s="1"/>
  <c r="B158" i="13" s="1"/>
  <c r="A157" i="13" a="1"/>
  <c r="A157" i="13" s="1"/>
  <c r="B157" i="13" s="1"/>
  <c r="A156" i="13" a="1"/>
  <c r="A156" i="13" s="1"/>
  <c r="B156" i="13" s="1"/>
  <c r="A155" i="13" a="1"/>
  <c r="A155" i="13" s="1"/>
  <c r="B155" i="13" s="1"/>
  <c r="A154" i="13" a="1"/>
  <c r="A154" i="13" s="1"/>
  <c r="B154" i="13" s="1"/>
  <c r="A153" i="13" a="1"/>
  <c r="A153" i="13" s="1"/>
  <c r="B153" i="13" s="1"/>
  <c r="A151" i="13" a="1"/>
  <c r="A151" i="13" s="1"/>
  <c r="B151" i="13" s="1"/>
  <c r="A150" i="13" a="1"/>
  <c r="A150" i="13" s="1"/>
  <c r="B150" i="13" s="1"/>
  <c r="A148" i="13" a="1"/>
  <c r="A148" i="13" s="1"/>
  <c r="B148" i="13" s="1"/>
  <c r="A147" i="13" a="1"/>
  <c r="A147" i="13" s="1"/>
  <c r="B147" i="13" s="1"/>
  <c r="A146" i="13" a="1"/>
  <c r="A146" i="13" s="1"/>
  <c r="B146" i="13" s="1"/>
  <c r="A145" i="13" a="1"/>
  <c r="A145" i="13" s="1"/>
  <c r="B145" i="13" s="1"/>
  <c r="A144" i="13" a="1"/>
  <c r="A144" i="13" s="1"/>
  <c r="B144" i="13" s="1"/>
  <c r="A143" i="13" a="1"/>
  <c r="A143" i="13" s="1"/>
  <c r="B143" i="13" s="1"/>
  <c r="A142" i="13" a="1"/>
  <c r="A142" i="13" s="1"/>
  <c r="B142" i="13" s="1"/>
  <c r="A140" i="13" a="1"/>
  <c r="A140" i="13" s="1"/>
  <c r="B140" i="13" s="1"/>
  <c r="A139" i="13" a="1"/>
  <c r="A139" i="13" s="1"/>
  <c r="B139" i="13" s="1"/>
  <c r="A138" i="13" a="1"/>
  <c r="A138" i="13" s="1"/>
  <c r="B138" i="13" s="1"/>
  <c r="A136" i="13" a="1"/>
  <c r="A136" i="13" s="1"/>
  <c r="B136" i="13" s="1"/>
  <c r="A135" i="13" a="1"/>
  <c r="A135" i="13" s="1"/>
  <c r="B135" i="13" s="1"/>
  <c r="A134" i="13" a="1"/>
  <c r="A134" i="13" s="1"/>
  <c r="B134" i="13" s="1"/>
  <c r="A133" i="13" a="1"/>
  <c r="A133" i="13" s="1"/>
  <c r="B133" i="13" s="1"/>
  <c r="A132" i="13" a="1"/>
  <c r="A132" i="13" s="1"/>
  <c r="B132" i="13" s="1"/>
  <c r="A131" i="13" a="1"/>
  <c r="A131" i="13" s="1"/>
  <c r="B131" i="13" s="1"/>
  <c r="A129" i="13" a="1"/>
  <c r="A129" i="13" s="1"/>
  <c r="B129" i="13" s="1"/>
  <c r="A128" i="13" a="1"/>
  <c r="A128" i="13" s="1"/>
  <c r="B128" i="13" s="1"/>
  <c r="A127" i="13" a="1"/>
  <c r="A127" i="13" s="1"/>
  <c r="B127" i="13" s="1"/>
  <c r="A126" i="13" a="1"/>
  <c r="A126" i="13" s="1"/>
  <c r="B126" i="13" s="1"/>
  <c r="A196" i="13" a="1"/>
  <c r="A196" i="13" s="1"/>
  <c r="B196" i="13" s="1"/>
  <c r="A195" i="13" a="1"/>
  <c r="A195" i="13" s="1"/>
  <c r="B195" i="13" s="1"/>
  <c r="A194" i="13" a="1"/>
  <c r="A194" i="13" s="1"/>
  <c r="B194" i="13" s="1"/>
  <c r="A193" i="13" a="1"/>
  <c r="A193" i="13" s="1"/>
  <c r="B193" i="13" s="1"/>
  <c r="A192" i="13" a="1"/>
  <c r="A192" i="13" s="1"/>
  <c r="B192" i="13" s="1"/>
  <c r="A191" i="13" a="1"/>
  <c r="A191" i="13" s="1"/>
  <c r="B191" i="13" s="1"/>
  <c r="A190" i="13" a="1"/>
  <c r="A190" i="13" s="1"/>
  <c r="B190" i="13" s="1"/>
  <c r="A189" i="13" a="1"/>
  <c r="A189" i="13" s="1"/>
  <c r="B189" i="13" s="1"/>
  <c r="A188" i="13" a="1"/>
  <c r="A188" i="13" s="1"/>
  <c r="B188" i="13" s="1"/>
  <c r="A185" i="13" a="1"/>
  <c r="A185" i="13" s="1"/>
  <c r="B185" i="13" s="1"/>
  <c r="A163" i="13" a="1"/>
  <c r="A163" i="13" s="1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 s="1"/>
  <c r="B124" i="13" s="1"/>
  <c r="A187" i="13" a="1"/>
  <c r="A187" i="13" s="1"/>
  <c r="B187" i="13" s="1"/>
  <c r="A186" i="13" a="1"/>
  <c r="A186" i="13" s="1"/>
  <c r="B186" i="13" s="1"/>
  <c r="A184" i="13" a="1"/>
  <c r="A184" i="13" s="1"/>
  <c r="B184" i="13" s="1"/>
  <c r="A179" i="13" a="1"/>
  <c r="A179" i="13" s="1"/>
  <c r="B179" i="13" s="1"/>
  <c r="A178" i="13" a="1"/>
  <c r="A178" i="13" s="1"/>
  <c r="B178" i="13" s="1"/>
  <c r="A177" i="13" a="1"/>
  <c r="A177" i="13" s="1"/>
  <c r="B177" i="13" s="1"/>
  <c r="A173" i="13" a="1"/>
  <c r="A173" i="13" s="1"/>
  <c r="B173" i="13" s="1"/>
  <c r="A161" i="13" a="1"/>
  <c r="A161" i="13" s="1"/>
  <c r="B161" i="13" s="1"/>
  <c r="A149" i="13" a="1"/>
  <c r="A149" i="13" s="1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 s="1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 s="1"/>
  <c r="B115" i="13" s="1"/>
  <c r="A114" i="13" a="1"/>
  <c r="A114" i="13" s="1"/>
  <c r="B114" i="13" s="1"/>
  <c r="A113" i="13" a="1"/>
  <c r="A113" i="13" s="1"/>
  <c r="B113" i="13" s="1"/>
  <c r="A112" i="13" a="1"/>
  <c r="A112" i="13" s="1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 s="1"/>
  <c r="B108" i="13" s="1"/>
  <c r="A107" i="13" a="1"/>
  <c r="A107" i="13" s="1"/>
  <c r="B107" i="13" s="1"/>
  <c r="A106" i="13" a="1"/>
  <c r="A106" i="13" s="1"/>
  <c r="B106" i="13" s="1"/>
  <c r="A105" i="13" a="1"/>
  <c r="A105" i="13" s="1"/>
  <c r="B105" i="13" s="1"/>
  <c r="A94" i="13" a="1"/>
  <c r="A94" i="13" s="1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 s="1"/>
  <c r="B90" i="13" s="1"/>
  <c r="A89" i="13" a="1"/>
  <c r="A89" i="13" s="1"/>
  <c r="B89" i="13" s="1"/>
  <c r="A88" i="13" a="1"/>
  <c r="A88" i="13" s="1"/>
  <c r="B88" i="13" s="1"/>
  <c r="A87" i="13" a="1"/>
  <c r="A87" i="13" s="1"/>
  <c r="B87" i="13" s="1"/>
  <c r="A86" i="13" a="1"/>
  <c r="A86" i="13" s="1"/>
  <c r="B86" i="13" s="1"/>
  <c r="A85" i="13" a="1"/>
  <c r="A85" i="13" s="1"/>
  <c r="B85" i="13" s="1"/>
  <c r="A84" i="13" a="1"/>
  <c r="A84" i="13" s="1"/>
  <c r="B84" i="13" s="1"/>
  <c r="A83" i="13" a="1"/>
  <c r="A83" i="13" s="1"/>
  <c r="B83" i="13" s="1"/>
  <c r="A82" i="13" a="1"/>
  <c r="A82" i="13" s="1"/>
  <c r="B82" i="13" s="1"/>
  <c r="A81" i="13" a="1"/>
  <c r="A81" i="13" s="1"/>
  <c r="B81" i="13" s="1"/>
  <c r="A80" i="13" a="1"/>
  <c r="A80" i="13" s="1"/>
  <c r="B80" i="13" s="1"/>
  <c r="A79" i="13" a="1"/>
  <c r="A79" i="13" s="1"/>
  <c r="B79" i="13" s="1"/>
  <c r="A24" i="13" a="1"/>
  <c r="A24" i="13" s="1"/>
  <c r="B24" i="13" s="1"/>
  <c r="A23" i="13" a="1"/>
  <c r="A23" i="13" s="1"/>
  <c r="B23" i="13" s="1"/>
  <c r="A22" i="13" a="1"/>
  <c r="A22" i="13" s="1"/>
  <c r="B22" i="13" s="1"/>
  <c r="A21" i="13" a="1"/>
  <c r="A21" i="13" s="1"/>
  <c r="B21" i="13" s="1"/>
  <c r="A20" i="13" a="1"/>
  <c r="A20" i="13" s="1"/>
  <c r="B20" i="13" s="1"/>
  <c r="A19" i="13" a="1"/>
  <c r="A19" i="13" s="1"/>
  <c r="B19" i="13" s="1"/>
  <c r="A78" i="13" a="1"/>
  <c r="A78" i="13" s="1"/>
  <c r="B78" i="13" s="1"/>
  <c r="A77" i="13" a="1"/>
  <c r="A77" i="13" s="1"/>
  <c r="B77" i="13" s="1"/>
  <c r="A76" i="13" a="1"/>
  <c r="A76" i="13" s="1"/>
  <c r="B76" i="13" s="1"/>
  <c r="A75" i="13" a="1"/>
  <c r="A75" i="13" s="1"/>
  <c r="B75" i="13" s="1"/>
  <c r="A74" i="13" a="1"/>
  <c r="A74" i="13" s="1"/>
  <c r="B74" i="13" s="1"/>
  <c r="A73" i="13" a="1"/>
  <c r="A73" i="13" s="1"/>
  <c r="B73" i="13" s="1"/>
  <c r="A60" i="13" a="1"/>
  <c r="A60" i="13" s="1"/>
  <c r="B60" i="13" s="1"/>
  <c r="A59" i="13" a="1"/>
  <c r="A59" i="13" s="1"/>
  <c r="B59" i="13" s="1"/>
  <c r="A58" i="13" a="1"/>
  <c r="A58" i="13" s="1"/>
  <c r="B58" i="13" s="1"/>
  <c r="A57" i="13" a="1"/>
  <c r="A57" i="13" s="1"/>
  <c r="B57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 s="1"/>
  <c r="B45" i="13" s="1"/>
  <c r="A44" i="13" a="1"/>
  <c r="A44" i="13" s="1"/>
  <c r="B44" i="13" s="1"/>
  <c r="A43" i="13" a="1"/>
  <c r="A43" i="13" s="1"/>
  <c r="B43" i="13" s="1"/>
  <c r="A71" i="13" a="1"/>
  <c r="A71" i="13" s="1"/>
  <c r="B71" i="13" s="1"/>
  <c r="A70" i="13" a="1"/>
  <c r="A70" i="13" s="1"/>
  <c r="B70" i="13" s="1"/>
  <c r="A69" i="13" a="1"/>
  <c r="A69" i="13" s="1"/>
  <c r="B69" i="13" s="1"/>
  <c r="A68" i="13" a="1"/>
  <c r="A68" i="13" s="1"/>
  <c r="B68" i="13" s="1"/>
  <c r="A67" i="13" a="1"/>
  <c r="A67" i="13" s="1"/>
  <c r="B67" i="13" s="1"/>
  <c r="A56" i="13" a="1"/>
  <c r="A56" i="13" s="1"/>
  <c r="B56" i="13" s="1"/>
  <c r="A55" i="13" a="1"/>
  <c r="A55" i="13"/>
  <c r="B55" i="13" s="1"/>
  <c r="A54" i="13" a="1"/>
  <c r="A54" i="13" s="1"/>
  <c r="B54" i="13" s="1"/>
  <c r="A53" i="13" a="1"/>
  <c r="A53" i="13" s="1"/>
  <c r="B53" i="13" s="1"/>
  <c r="A52" i="13" a="1"/>
  <c r="A52" i="13" s="1"/>
  <c r="B52" i="13" s="1"/>
  <c r="A51" i="13" a="1"/>
  <c r="A51" i="13" s="1"/>
  <c r="B51" i="13" s="1"/>
  <c r="A50" i="13" a="1"/>
  <c r="A50" i="13" s="1"/>
  <c r="B50" i="13" s="1"/>
  <c r="A49" i="13" a="1"/>
  <c r="A49" i="13" s="1"/>
  <c r="B49" i="13" s="1"/>
  <c r="A66" i="13" a="1"/>
  <c r="A66" i="13" s="1"/>
  <c r="B66" i="13" s="1"/>
  <c r="A65" i="13" a="1"/>
  <c r="A65" i="13" s="1"/>
  <c r="B65" i="13" s="1"/>
  <c r="A64" i="13" a="1"/>
  <c r="A64" i="13" s="1"/>
  <c r="B64" i="13" s="1"/>
  <c r="A63" i="13" a="1"/>
  <c r="A63" i="13" s="1"/>
  <c r="B63" i="13" s="1"/>
  <c r="A62" i="13" a="1"/>
  <c r="A62" i="13" s="1"/>
  <c r="B62" i="13" s="1"/>
  <c r="A61" i="13" a="1"/>
  <c r="A61" i="13" s="1"/>
  <c r="B61" i="13" s="1"/>
  <c r="A42" i="13" a="1"/>
  <c r="A42" i="13" s="1"/>
  <c r="B42" i="13" s="1"/>
  <c r="A41" i="13" a="1"/>
  <c r="A41" i="13" s="1"/>
  <c r="B41" i="13" s="1"/>
  <c r="A40" i="13" a="1"/>
  <c r="A40" i="13"/>
  <c r="B40" i="13" s="1"/>
  <c r="A39" i="13" a="1"/>
  <c r="A39" i="13" s="1"/>
  <c r="B39" i="13" s="1"/>
  <c r="A38" i="13" a="1"/>
  <c r="A38" i="13" s="1"/>
  <c r="B38" i="13" s="1"/>
  <c r="A37" i="13" a="1"/>
  <c r="A37" i="13" s="1"/>
  <c r="B37" i="13" s="1"/>
  <c r="A36" i="13" a="1"/>
  <c r="A36" i="13" s="1"/>
  <c r="B36" i="13" s="1"/>
  <c r="A72" i="13" a="1"/>
  <c r="A72" i="13" s="1"/>
  <c r="B72" i="13" s="1"/>
  <c r="A35" i="13" a="1"/>
  <c r="A35" i="13" s="1"/>
  <c r="B35" i="13" s="1"/>
  <c r="A34" i="13" a="1"/>
  <c r="A34" i="13" s="1"/>
  <c r="B34" i="13" s="1"/>
  <c r="A33" i="13" a="1"/>
  <c r="A33" i="13" s="1"/>
  <c r="B33" i="13" s="1"/>
  <c r="A32" i="13" a="1"/>
  <c r="A32" i="13" s="1"/>
  <c r="B32" i="13" s="1"/>
  <c r="A31" i="13" a="1"/>
  <c r="A31" i="13" s="1"/>
  <c r="B31" i="13" s="1"/>
  <c r="A30" i="13" a="1"/>
  <c r="A30" i="13" s="1"/>
  <c r="B30" i="13" s="1"/>
  <c r="A29" i="13" a="1"/>
  <c r="A29" i="13" s="1"/>
  <c r="B29" i="13" s="1"/>
  <c r="A28" i="13" a="1"/>
  <c r="A28" i="13" s="1"/>
  <c r="B28" i="13" s="1"/>
  <c r="A27" i="13" a="1"/>
  <c r="A27" i="13" s="1"/>
  <c r="B27" i="13" s="1"/>
  <c r="A26" i="13" a="1"/>
  <c r="A26" i="13" s="1"/>
  <c r="B26" i="13" s="1"/>
  <c r="A25" i="13" a="1"/>
  <c r="A25" i="13" s="1"/>
  <c r="B25" i="13" s="1"/>
  <c r="A18" i="13" a="1"/>
  <c r="A18" i="13" s="1"/>
  <c r="B18" i="13" s="1"/>
  <c r="A17" i="13" a="1"/>
  <c r="A17" i="13" s="1"/>
  <c r="B17" i="13" s="1"/>
  <c r="A16" i="13" a="1"/>
  <c r="A16" i="13" s="1"/>
  <c r="B16" i="13" s="1"/>
  <c r="A15" i="13" a="1"/>
  <c r="A15" i="13" s="1"/>
  <c r="B15" i="13" s="1"/>
  <c r="A13" i="13" a="1"/>
  <c r="A13" i="13" s="1"/>
  <c r="B13" i="13" s="1"/>
  <c r="A12" i="13" a="1"/>
  <c r="A12" i="13" s="1"/>
  <c r="B12" i="13" s="1"/>
  <c r="A11" i="13" a="1"/>
  <c r="A11" i="13" s="1"/>
  <c r="B11" i="13" s="1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 s="1"/>
  <c r="B14" i="13" s="1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 s="1"/>
  <c r="A5" i="12" a="1"/>
  <c r="A5" i="12" s="1"/>
  <c r="B5" i="12" s="1"/>
  <c r="A6" i="12" a="1"/>
  <c r="A6" i="12"/>
  <c r="B6" i="12" s="1"/>
  <c r="A7" i="12" a="1"/>
  <c r="A7" i="12" s="1"/>
  <c r="B7" i="12" s="1"/>
  <c r="A8" i="12" a="1"/>
  <c r="A8" i="12"/>
  <c r="B8" i="12" s="1"/>
  <c r="A9" i="12" a="1"/>
  <c r="A9" i="12" s="1"/>
  <c r="B9" i="12" s="1"/>
  <c r="A10" i="12" a="1"/>
  <c r="A10" i="12"/>
  <c r="B10" i="12" s="1"/>
  <c r="A11" i="12" a="1"/>
  <c r="A11" i="12" s="1"/>
  <c r="B11" i="12"/>
  <c r="A12" i="12" a="1"/>
  <c r="A12" i="12"/>
  <c r="B12" i="12" s="1"/>
  <c r="A13" i="12" a="1"/>
  <c r="A13" i="12" s="1"/>
  <c r="B13" i="12" s="1"/>
  <c r="A14" i="12" a="1"/>
  <c r="A14" i="12"/>
  <c r="B14" i="12" s="1"/>
  <c r="A15" i="12" a="1"/>
  <c r="A15" i="12" s="1"/>
  <c r="B15" i="12" s="1"/>
  <c r="A16" i="12" a="1"/>
  <c r="A16" i="12"/>
  <c r="B16" i="12" s="1"/>
  <c r="A17" i="12" a="1"/>
  <c r="A17" i="12" s="1"/>
  <c r="A18" i="12" a="1"/>
  <c r="A18" i="12" s="1"/>
  <c r="B18" i="12"/>
  <c r="A19" i="12" a="1"/>
  <c r="A19" i="12"/>
  <c r="B19" i="12" s="1"/>
  <c r="A20" i="12" a="1"/>
  <c r="A20" i="12" s="1"/>
  <c r="B20" i="12" s="1"/>
  <c r="A21" i="12" a="1"/>
  <c r="A21" i="12"/>
  <c r="B21" i="12" s="1"/>
  <c r="A22" i="12" a="1"/>
  <c r="A22" i="12" s="1"/>
  <c r="B22" i="12" s="1"/>
  <c r="A23" i="12" a="1"/>
  <c r="A23" i="12"/>
  <c r="B23" i="12" s="1"/>
  <c r="A24" i="12" a="1"/>
  <c r="A24" i="12" s="1"/>
  <c r="B24" i="12" s="1"/>
  <c r="A25" i="12" a="1"/>
  <c r="A25" i="12"/>
  <c r="B25" i="12" s="1"/>
  <c r="A26" i="12" a="1"/>
  <c r="A26" i="12" s="1"/>
  <c r="B26" i="12"/>
  <c r="A27" i="12" a="1"/>
  <c r="A27" i="12"/>
  <c r="B27" i="12" s="1"/>
  <c r="A28" i="12" a="1"/>
  <c r="A28" i="12"/>
  <c r="B28" i="12" s="1"/>
  <c r="A29" i="12" a="1"/>
  <c r="A29" i="12" s="1"/>
  <c r="B29" i="12"/>
  <c r="A30" i="12" a="1"/>
  <c r="A30" i="12"/>
  <c r="B30" i="12" s="1"/>
  <c r="A31" i="12" a="1"/>
  <c r="A31" i="12" s="1"/>
  <c r="B31" i="12"/>
  <c r="A32" i="12" a="1"/>
  <c r="A32" i="12"/>
  <c r="B32" i="12" s="1"/>
  <c r="A33" i="12" a="1"/>
  <c r="A33" i="12" s="1"/>
  <c r="A34" i="12" a="1"/>
  <c r="A34" i="12" s="1"/>
  <c r="B34" i="12" s="1"/>
  <c r="A35" i="12" a="1"/>
  <c r="A35" i="12"/>
  <c r="B35" i="12" s="1"/>
  <c r="A36" i="12" a="1"/>
  <c r="A36" i="12" s="1"/>
  <c r="B36" i="12" s="1"/>
  <c r="A37" i="12" a="1"/>
  <c r="A37" i="12"/>
  <c r="B37" i="12" s="1"/>
  <c r="A38" i="12" a="1"/>
  <c r="A38" i="12" s="1"/>
  <c r="B38" i="12" s="1"/>
  <c r="A39" i="12" a="1"/>
  <c r="A39" i="12"/>
  <c r="B39" i="12" s="1"/>
  <c r="A40" i="12" a="1"/>
  <c r="A40" i="12" s="1"/>
  <c r="B40" i="12" s="1"/>
  <c r="A41" i="12" a="1"/>
  <c r="A41" i="12"/>
  <c r="A42" i="12" a="1"/>
  <c r="A42" i="12"/>
  <c r="B42" i="12" s="1"/>
  <c r="A43" i="12" a="1"/>
  <c r="A43" i="12" s="1"/>
  <c r="B43" i="12" s="1"/>
  <c r="A44" i="12" a="1"/>
  <c r="A44" i="12"/>
  <c r="B44" i="12" s="1"/>
  <c r="A45" i="12" a="1"/>
  <c r="A45" i="12" s="1"/>
  <c r="B45" i="12" s="1"/>
  <c r="A46" i="12" a="1"/>
  <c r="A46" i="12"/>
  <c r="B46" i="12" s="1"/>
  <c r="A47" i="12" a="1"/>
  <c r="A47" i="12" s="1"/>
  <c r="B47" i="12" s="1"/>
  <c r="A48" i="12" a="1"/>
  <c r="A48" i="12"/>
  <c r="B48" i="12" s="1"/>
  <c r="A49" i="12" a="1"/>
  <c r="A49" i="12" s="1"/>
  <c r="A50" i="12" a="1"/>
  <c r="A50" i="12" s="1"/>
  <c r="B50" i="12"/>
  <c r="A51" i="12" a="1"/>
  <c r="A51" i="12"/>
  <c r="A52" i="12" a="1"/>
  <c r="A52" i="12"/>
  <c r="B52" i="12" s="1"/>
  <c r="A53" i="12" a="1"/>
  <c r="A53" i="12" s="1"/>
  <c r="B53" i="12"/>
  <c r="A54" i="12" a="1"/>
  <c r="A54" i="12"/>
  <c r="B54" i="12" s="1"/>
  <c r="A55" i="12" a="1"/>
  <c r="A55" i="12" s="1"/>
  <c r="A56" i="12" a="1"/>
  <c r="A56" i="12" s="1"/>
  <c r="B56" i="12" s="1"/>
  <c r="A57" i="12" a="1"/>
  <c r="A57" i="12"/>
  <c r="B57" i="12" s="1"/>
  <c r="A58" i="12" a="1"/>
  <c r="A58" i="12" s="1"/>
  <c r="B58" i="12" s="1"/>
  <c r="A59" i="12" a="1"/>
  <c r="A59" i="12"/>
  <c r="B59" i="12" s="1"/>
  <c r="A60" i="12" a="1"/>
  <c r="A60" i="12" s="1"/>
  <c r="B60" i="12" s="1"/>
  <c r="A61" i="12" a="1"/>
  <c r="A61" i="12"/>
  <c r="B61" i="12" s="1"/>
  <c r="A62" i="12" a="1"/>
  <c r="A62" i="12" s="1"/>
  <c r="B62" i="12" s="1"/>
  <c r="A63" i="12" a="1"/>
  <c r="A63" i="12"/>
  <c r="B63" i="12" s="1"/>
  <c r="A64" i="12" a="1"/>
  <c r="A64" i="12" s="1"/>
  <c r="B64" i="12" s="1"/>
  <c r="A65" i="12" a="1"/>
  <c r="A65" i="12"/>
  <c r="B65" i="12" s="1"/>
  <c r="A66" i="12" a="1"/>
  <c r="A66" i="12" s="1"/>
  <c r="B66" i="12" s="1"/>
  <c r="A67" i="12" a="1"/>
  <c r="A67" i="12"/>
  <c r="A68" i="12" a="1"/>
  <c r="A68" i="12"/>
  <c r="B68" i="12" s="1"/>
  <c r="A69" i="12" a="1"/>
  <c r="A69" i="12" s="1"/>
  <c r="B69" i="12" s="1"/>
  <c r="A70" i="12" a="1"/>
  <c r="A70" i="12"/>
  <c r="B70" i="12" s="1"/>
  <c r="A71" i="12" a="1"/>
  <c r="A71" i="12" s="1"/>
  <c r="B71" i="12" s="1"/>
  <c r="A72" i="12" a="1"/>
  <c r="A72" i="12"/>
  <c r="B72" i="12" s="1"/>
  <c r="A73" i="12" a="1"/>
  <c r="A73" i="12" s="1"/>
  <c r="B73" i="12" s="1"/>
  <c r="A74" i="12" a="1"/>
  <c r="A74" i="12" s="1"/>
  <c r="B74" i="12"/>
  <c r="A75" i="12" a="1"/>
  <c r="A75" i="12"/>
  <c r="B75" i="12" s="1"/>
  <c r="A76" i="12" a="1"/>
  <c r="A76" i="12" s="1"/>
  <c r="B76" i="12"/>
  <c r="A77" i="12" a="1"/>
  <c r="A77" i="12"/>
  <c r="B77" i="12" s="1"/>
  <c r="A78" i="12" a="1"/>
  <c r="A78" i="12" s="1"/>
  <c r="B78" i="12"/>
  <c r="A79" i="12" a="1"/>
  <c r="A79" i="12"/>
  <c r="A80" i="12" a="1"/>
  <c r="A80" i="12"/>
  <c r="B80" i="12" s="1"/>
  <c r="A81" i="12" a="1"/>
  <c r="A81" i="12" s="1"/>
  <c r="A82" i="12" a="1"/>
  <c r="A82" i="12" s="1"/>
  <c r="B82" i="12" s="1"/>
  <c r="A83" i="12" a="1"/>
  <c r="A83" i="12"/>
  <c r="A84" i="12" a="1"/>
  <c r="A84" i="12"/>
  <c r="B84" i="12" s="1"/>
  <c r="A85" i="12" a="1"/>
  <c r="A85" i="12" s="1"/>
  <c r="B85" i="12" s="1"/>
  <c r="A86" i="12" a="1"/>
  <c r="A86" i="12"/>
  <c r="B86" i="12" s="1"/>
  <c r="A87" i="12" a="1"/>
  <c r="A87" i="12" s="1"/>
  <c r="B87" i="12" s="1"/>
  <c r="A88" i="12" a="1"/>
  <c r="A88" i="12"/>
  <c r="B88" i="12" s="1"/>
  <c r="A89" i="12" a="1"/>
  <c r="A89" i="12" s="1"/>
  <c r="B89" i="12" s="1"/>
  <c r="A90" i="12" a="1"/>
  <c r="A90" i="12"/>
  <c r="B90" i="12" s="1"/>
  <c r="A91" i="12" a="1"/>
  <c r="A91" i="12" s="1"/>
  <c r="A92" i="12" a="1"/>
  <c r="A92" i="12" s="1"/>
  <c r="B92" i="12"/>
  <c r="A93" i="12" a="1"/>
  <c r="A93" i="12"/>
  <c r="B93" i="12" s="1"/>
  <c r="A94" i="12" a="1"/>
  <c r="A94" i="12"/>
  <c r="B94" i="12" s="1"/>
  <c r="A95" i="12" a="1"/>
  <c r="A95" i="12"/>
  <c r="B95" i="12" s="1"/>
  <c r="A96" i="12" a="1"/>
  <c r="A96" i="12" s="1"/>
  <c r="B96" i="12" s="1"/>
  <c r="A97" i="12" a="1"/>
  <c r="A97" i="12"/>
  <c r="B97" i="12" s="1"/>
  <c r="A98" i="12" a="1"/>
  <c r="A98" i="12" s="1"/>
  <c r="B98" i="12" s="1"/>
  <c r="A99" i="12" a="1"/>
  <c r="A99" i="12"/>
  <c r="B99" i="12" s="1"/>
  <c r="A100" i="12" a="1"/>
  <c r="A100" i="12" s="1"/>
  <c r="B100" i="12" s="1"/>
  <c r="A101" i="12" a="1"/>
  <c r="A101" i="12"/>
  <c r="B101" i="12" s="1"/>
  <c r="A102" i="12" a="1"/>
  <c r="A102" i="12" s="1"/>
  <c r="B102" i="12" s="1"/>
  <c r="A103" i="12" a="1"/>
  <c r="A103" i="12"/>
  <c r="A104" i="12" a="1"/>
  <c r="A104" i="12"/>
  <c r="B104" i="12" s="1"/>
  <c r="A105" i="12" a="1"/>
  <c r="A105" i="12" s="1"/>
  <c r="B105" i="12" s="1"/>
  <c r="A106" i="12" a="1"/>
  <c r="A106" i="12" s="1"/>
  <c r="B106" i="12" s="1"/>
  <c r="A107" i="12" a="1"/>
  <c r="A107" i="12"/>
  <c r="B107" i="12" s="1"/>
  <c r="A108" i="12" a="1"/>
  <c r="A108" i="12"/>
  <c r="B108" i="12" s="1"/>
  <c r="A109" i="12" a="1"/>
  <c r="A109" i="12" s="1"/>
  <c r="B109" i="12" s="1"/>
  <c r="A110" i="12" a="1"/>
  <c r="A110" i="12"/>
  <c r="B110" i="12" s="1"/>
  <c r="A111" i="12" a="1"/>
  <c r="A111" i="12"/>
  <c r="B111" i="12" s="1"/>
  <c r="A112" i="12" a="1"/>
  <c r="A112" i="12" s="1"/>
  <c r="B112" i="12" s="1"/>
  <c r="A113" i="12" a="1"/>
  <c r="A113" i="12"/>
  <c r="B113" i="12" s="1"/>
  <c r="A114" i="12" a="1"/>
  <c r="A114" i="12" s="1"/>
  <c r="B114" i="12" s="1"/>
  <c r="A115" i="12" a="1"/>
  <c r="A115" i="12"/>
  <c r="B115" i="12" s="1"/>
  <c r="A116" i="12" a="1"/>
  <c r="A116" i="12" s="1"/>
  <c r="B116" i="12" s="1"/>
  <c r="A117" i="12" a="1"/>
  <c r="A117" i="12"/>
  <c r="B117" i="12" s="1"/>
  <c r="A118" i="12" a="1"/>
  <c r="A118" i="12" s="1"/>
  <c r="B118" i="12" s="1"/>
  <c r="A119" i="12" a="1"/>
  <c r="A119" i="12" s="1"/>
  <c r="B119" i="12" s="1"/>
  <c r="A120" i="12" a="1"/>
  <c r="A120" i="12" s="1"/>
  <c r="B120" i="12" s="1"/>
  <c r="A121" i="12" a="1"/>
  <c r="A121" i="12"/>
  <c r="A122" i="12" a="1"/>
  <c r="A122" i="12"/>
  <c r="B122" i="12" s="1"/>
  <c r="A123" i="12" a="1"/>
  <c r="A123" i="12" s="1"/>
  <c r="B123" i="12" s="1"/>
  <c r="A124" i="12" a="1"/>
  <c r="A124" i="12" s="1"/>
  <c r="B124" i="12" s="1"/>
  <c r="A125" i="12" a="1"/>
  <c r="A125" i="12"/>
  <c r="A126" i="12" a="1"/>
  <c r="A126" i="12"/>
  <c r="A127" i="12" a="1"/>
  <c r="A127" i="12"/>
  <c r="B127" i="12" s="1"/>
  <c r="A128" i="12" a="1"/>
  <c r="A128" i="12" s="1"/>
  <c r="B128" i="12" s="1"/>
  <c r="A129" i="12" a="1"/>
  <c r="A129" i="12"/>
  <c r="B129" i="12" s="1"/>
  <c r="A130" i="12" a="1"/>
  <c r="A130" i="12" s="1"/>
  <c r="B130" i="12" s="1"/>
  <c r="A131" i="12" a="1"/>
  <c r="A131" i="12"/>
  <c r="B131" i="12" s="1"/>
  <c r="A132" i="12" a="1"/>
  <c r="A132" i="12"/>
  <c r="B132" i="12" s="1"/>
  <c r="A133" i="12" a="1"/>
  <c r="A133" i="12" s="1"/>
  <c r="B133" i="12" s="1"/>
  <c r="A134" i="12" a="1"/>
  <c r="A134" i="12"/>
  <c r="B134" i="12" s="1"/>
  <c r="A135" i="12" a="1"/>
  <c r="A135" i="12" s="1"/>
  <c r="B135" i="12" s="1"/>
  <c r="A136" i="12" a="1"/>
  <c r="A136" i="12"/>
  <c r="B136" i="12" s="1"/>
  <c r="A137" i="12" a="1"/>
  <c r="A137" i="12" s="1"/>
  <c r="B137" i="12" s="1"/>
  <c r="A138" i="12" a="1"/>
  <c r="A138" i="12"/>
  <c r="B138" i="12" s="1"/>
  <c r="A139" i="12" a="1"/>
  <c r="A139" i="12" s="1"/>
  <c r="A140" i="12" a="1"/>
  <c r="A140" i="12" s="1"/>
  <c r="B140" i="12" s="1"/>
  <c r="A141" i="12" a="1"/>
  <c r="A141" i="12"/>
  <c r="B141" i="12" s="1"/>
  <c r="A142" i="12" a="1"/>
  <c r="A142" i="12" s="1"/>
  <c r="B142" i="12" s="1"/>
  <c r="A143" i="12" a="1"/>
  <c r="A143" i="12"/>
  <c r="A144" i="12" a="1"/>
  <c r="A144" i="12"/>
  <c r="B144" i="12" s="1"/>
  <c r="A145" i="12" a="1"/>
  <c r="A145" i="12" s="1"/>
  <c r="B145" i="12" s="1"/>
  <c r="A146" i="12" a="1"/>
  <c r="A146" i="12"/>
  <c r="A147" i="12" a="1"/>
  <c r="A147" i="12"/>
  <c r="B147" i="12" s="1"/>
  <c r="A148" i="12" a="1"/>
  <c r="A148" i="12" s="1"/>
  <c r="B148" i="12" s="1"/>
  <c r="A149" i="12" a="1"/>
  <c r="A149" i="12"/>
  <c r="B149" i="12" s="1"/>
  <c r="A150" i="12" a="1"/>
  <c r="A150" i="12" s="1"/>
  <c r="B150" i="12" s="1"/>
  <c r="A151" i="12" a="1"/>
  <c r="A151" i="12"/>
  <c r="B151" i="12" s="1"/>
  <c r="A152" i="12" a="1"/>
  <c r="A152" i="12" s="1"/>
  <c r="B152" i="12" s="1"/>
  <c r="A153" i="12" a="1"/>
  <c r="A153" i="12"/>
  <c r="B153" i="12" s="1"/>
  <c r="A154" i="12" a="1"/>
  <c r="A154" i="12" s="1"/>
  <c r="B154" i="12" s="1"/>
  <c r="A155" i="12" a="1"/>
  <c r="A155" i="12"/>
  <c r="A156" i="12" a="1"/>
  <c r="A156" i="12"/>
  <c r="B156" i="12" s="1"/>
  <c r="A157" i="12" a="1"/>
  <c r="A157" i="12" s="1"/>
  <c r="B157" i="12" s="1"/>
  <c r="A158" i="12" a="1"/>
  <c r="A158" i="12"/>
  <c r="B158" i="12" s="1"/>
  <c r="A159" i="12" a="1"/>
  <c r="A159" i="12" s="1"/>
  <c r="B159" i="12" s="1"/>
  <c r="A160" i="12" a="1"/>
  <c r="A160" i="12"/>
  <c r="B160" i="12" s="1"/>
  <c r="A161" i="12" a="1"/>
  <c r="A161" i="12" s="1"/>
  <c r="B161" i="12" s="1"/>
  <c r="A162" i="12" a="1"/>
  <c r="A162" i="12"/>
  <c r="B162" i="12" s="1"/>
  <c r="A163" i="12" a="1"/>
  <c r="A163" i="12" s="1"/>
  <c r="B163" i="12" s="1"/>
  <c r="A164" i="12" a="1"/>
  <c r="A164" i="12"/>
  <c r="B164" i="12" s="1"/>
  <c r="A165" i="12" a="1"/>
  <c r="A165" i="12" s="1"/>
  <c r="B165" i="12" s="1"/>
  <c r="A166" i="12" a="1"/>
  <c r="A166" i="12"/>
  <c r="B166" i="12" s="1"/>
  <c r="A167" i="12" a="1"/>
  <c r="A167" i="12" s="1"/>
  <c r="B167" i="12" s="1"/>
  <c r="A168" i="12" a="1"/>
  <c r="A168" i="12"/>
  <c r="B168" i="12" s="1"/>
  <c r="A169" i="12" a="1"/>
  <c r="A169" i="12" s="1"/>
  <c r="B169" i="12" s="1"/>
  <c r="A170" i="12" a="1"/>
  <c r="A170" i="12" s="1"/>
  <c r="B170" i="12" s="1"/>
  <c r="A171" i="12" a="1"/>
  <c r="A171" i="12"/>
  <c r="B171" i="12" s="1"/>
  <c r="A172" i="12" a="1"/>
  <c r="A172" i="12" s="1"/>
  <c r="B172" i="12" s="1"/>
  <c r="A173" i="12" a="1"/>
  <c r="A173" i="12"/>
  <c r="B173" i="12" s="1"/>
  <c r="A174" i="12" a="1"/>
  <c r="A174" i="12" s="1"/>
  <c r="B174" i="12" s="1"/>
  <c r="A175" i="12" a="1"/>
  <c r="A175" i="12"/>
  <c r="B175" i="12" s="1"/>
  <c r="A176" i="12" a="1"/>
  <c r="A176" i="12" s="1"/>
  <c r="B176" i="12" s="1"/>
  <c r="A177" i="12" a="1"/>
  <c r="A177" i="12"/>
  <c r="B177" i="12" s="1"/>
  <c r="A178" i="12" a="1"/>
  <c r="A178" i="12" s="1"/>
  <c r="B178" i="12" s="1"/>
  <c r="A179" i="12" a="1"/>
  <c r="A179" i="12"/>
  <c r="B179" i="12" s="1"/>
  <c r="A180" i="12" a="1"/>
  <c r="A180" i="12" s="1"/>
  <c r="B180" i="12" s="1"/>
  <c r="A181" i="12" a="1"/>
  <c r="A181" i="12"/>
  <c r="B181" i="12" s="1"/>
  <c r="A182" i="12" a="1"/>
  <c r="A182" i="12" s="1"/>
  <c r="B182" i="12" s="1"/>
  <c r="A183" i="12" a="1"/>
  <c r="A183" i="12"/>
  <c r="B183" i="12" s="1"/>
  <c r="A184" i="12" a="1"/>
  <c r="A184" i="12" s="1"/>
  <c r="B184" i="12" s="1"/>
  <c r="A185" i="12" a="1"/>
  <c r="A185" i="12"/>
  <c r="B185" i="12" s="1"/>
  <c r="A186" i="12" a="1"/>
  <c r="A186" i="12" s="1"/>
  <c r="B186" i="12" s="1"/>
  <c r="A187" i="12" a="1"/>
  <c r="A187" i="12"/>
  <c r="B187" i="12" s="1"/>
  <c r="A188" i="12" a="1"/>
  <c r="A188" i="12" s="1"/>
  <c r="B188" i="12" s="1"/>
  <c r="A189" i="12" a="1"/>
  <c r="A189" i="12"/>
  <c r="B189" i="12" s="1"/>
  <c r="A190" i="12" a="1"/>
  <c r="A190" i="12" s="1"/>
  <c r="B190" i="12" s="1"/>
  <c r="A191" i="12" a="1"/>
  <c r="A191" i="12"/>
  <c r="B191" i="12" s="1"/>
  <c r="A192" i="12" a="1"/>
  <c r="A192" i="12" s="1"/>
  <c r="B192" i="12" s="1"/>
  <c r="A193" i="12" a="1"/>
  <c r="A193" i="12"/>
  <c r="B193" i="12" s="1"/>
  <c r="A194" i="12" a="1"/>
  <c r="A194" i="12" s="1"/>
  <c r="B194" i="12" s="1"/>
  <c r="A195" i="12" a="1"/>
  <c r="A195" i="12"/>
  <c r="B195" i="12" s="1"/>
  <c r="A196" i="12" a="1"/>
  <c r="A196" i="12" s="1"/>
  <c r="B196" i="12" s="1"/>
  <c r="A197" i="12" a="1"/>
  <c r="A197" i="12"/>
  <c r="B197" i="12" s="1"/>
  <c r="A198" i="12" a="1"/>
  <c r="A198" i="12" s="1"/>
  <c r="B198" i="12" s="1"/>
  <c r="A199" i="12" a="1"/>
  <c r="A199" i="12"/>
  <c r="B199" i="12" s="1"/>
  <c r="A200" i="12" a="1"/>
  <c r="A200" i="12" s="1"/>
  <c r="B200" i="12" s="1"/>
  <c r="A201" i="12" a="1"/>
  <c r="A201" i="12"/>
  <c r="B201" i="12" s="1"/>
  <c r="A202" i="12" a="1"/>
  <c r="A202" i="12" s="1"/>
  <c r="B202" i="12" s="1"/>
  <c r="A203" i="12" a="1"/>
  <c r="A203" i="12"/>
  <c r="B203" i="12" s="1"/>
  <c r="A204" i="12" a="1"/>
  <c r="A204" i="12" s="1"/>
  <c r="B204" i="12" s="1"/>
  <c r="A205" i="12" a="1"/>
  <c r="A205" i="12"/>
  <c r="B205" i="12" s="1"/>
  <c r="A206" i="12" a="1"/>
  <c r="A206" i="12" s="1"/>
  <c r="B206" i="12" s="1"/>
  <c r="A207" i="12" a="1"/>
  <c r="A207" i="12"/>
  <c r="B207" i="12" s="1"/>
  <c r="A208" i="12" a="1"/>
  <c r="A208" i="12" s="1"/>
  <c r="B208" i="12" s="1"/>
  <c r="A209" i="12" a="1"/>
  <c r="A209" i="12"/>
  <c r="B209" i="12" s="1"/>
  <c r="A210" i="12" a="1"/>
  <c r="A210" i="12" s="1"/>
  <c r="B210" i="12" s="1"/>
  <c r="A211" i="12" a="1"/>
  <c r="A211" i="12"/>
  <c r="B211" i="12" s="1"/>
  <c r="A212" i="12" a="1"/>
  <c r="A212" i="12" s="1"/>
  <c r="B212" i="12" s="1"/>
  <c r="A213" i="12" a="1"/>
  <c r="A213" i="12"/>
  <c r="B213" i="12" s="1"/>
  <c r="A214" i="12" a="1"/>
  <c r="A214" i="12" s="1"/>
  <c r="B214" i="12" s="1"/>
  <c r="A215" i="12" a="1"/>
  <c r="A215" i="12"/>
  <c r="B215" i="12" s="1"/>
  <c r="A2" i="12" a="1"/>
  <c r="A2" i="12" s="1"/>
  <c r="B2" i="12" s="1"/>
  <c r="B17" i="12"/>
  <c r="B33" i="12"/>
  <c r="B41" i="12"/>
  <c r="B49" i="12"/>
  <c r="B51" i="12"/>
  <c r="B55" i="12"/>
  <c r="B83" i="12"/>
  <c r="B91" i="12"/>
  <c r="B121" i="12"/>
  <c r="B3" i="12"/>
  <c r="B125" i="12"/>
  <c r="B126" i="12"/>
  <c r="B67" i="12"/>
  <c r="B79" i="12"/>
  <c r="B81" i="12"/>
  <c r="B103" i="12"/>
  <c r="B139" i="12"/>
  <c r="B143" i="12"/>
  <c r="B146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</calcChain>
</file>

<file path=xl/sharedStrings.xml><?xml version="1.0" encoding="utf-8"?>
<sst xmlns="http://schemas.openxmlformats.org/spreadsheetml/2006/main" count="4786" uniqueCount="1850">
  <si>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</si>
  <si>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</si>
  <si>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</si>
  <si>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</si>
  <si>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</si>
  <si>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</si>
  <si>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</si>
  <si>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</si>
  <si>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</si>
  <si>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</si>
  <si>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</si>
  <si>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</si>
  <si>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</si>
  <si>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</si>
  <si>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</si>
  <si>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</si>
  <si>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</si>
  <si>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</si>
  <si>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</si>
  <si>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</si>
  <si>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</si>
  <si>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</si>
  <si>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</si>
  <si>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</si>
  <si>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</si>
  <si>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</si>
  <si>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</si>
  <si>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</si>
  <si>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</si>
  <si>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</si>
  <si>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</si>
  <si>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</si>
  <si>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</si>
  <si>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</si>
  <si>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</si>
  <si>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</si>
  <si>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</si>
  <si>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</si>
  <si>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</si>
  <si>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</si>
  <si>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</si>
  <si>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</si>
  <si>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</si>
  <si>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</si>
  <si>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</si>
  <si>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</si>
  <si>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</si>
  <si>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</si>
  <si>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</si>
  <si>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</si>
  <si>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</si>
  <si>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</si>
  <si>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</si>
  <si>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</si>
  <si>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</si>
  <si>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</si>
  <si>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</si>
  <si>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</si>
  <si>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</si>
  <si>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</si>
  <si>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</si>
  <si>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</si>
  <si>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</si>
  <si>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</si>
  <si>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</si>
  <si>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</si>
  <si>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</si>
  <si>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</si>
  <si>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</si>
  <si>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</si>
  <si>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</si>
  <si>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</si>
  <si>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</si>
  <si>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</si>
  <si>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</si>
  <si>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</si>
  <si>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</si>
  <si>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</si>
  <si>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</si>
  <si>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</si>
  <si>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</si>
  <si>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</si>
  <si>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</si>
  <si>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</si>
  <si>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</si>
  <si>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</si>
  <si>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</si>
  <si>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</si>
  <si>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</si>
  <si>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</si>
  <si>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</si>
  <si>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</si>
  <si>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</si>
  <si>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</si>
  <si>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</si>
  <si>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</si>
  <si>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</si>
  <si>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</si>
  <si>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</si>
  <si>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</si>
  <si>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</si>
  <si>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</si>
  <si>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</si>
  <si>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</si>
  <si>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</si>
  <si>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</si>
  <si>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</si>
  <si>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</si>
  <si>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</si>
  <si>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</si>
  <si>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</si>
  <si>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</si>
  <si>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</si>
  <si>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</si>
  <si>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</si>
  <si>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</si>
  <si>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</si>
  <si>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</si>
  <si>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</si>
  <si>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</si>
  <si>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</si>
  <si>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</si>
  <si>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</si>
  <si>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</si>
  <si>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</si>
  <si>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</si>
  <si>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</si>
  <si>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</si>
  <si>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</si>
  <si>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</si>
  <si>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</si>
  <si>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</si>
  <si>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</si>
  <si>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</si>
  <si>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</si>
  <si>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</si>
  <si>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</si>
  <si>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</si>
  <si>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</si>
  <si>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</si>
  <si>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</si>
  <si>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</si>
  <si>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</si>
  <si>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</si>
  <si>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</si>
  <si>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</si>
  <si>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</si>
  <si>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</si>
  <si>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</si>
  <si>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</si>
  <si>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</si>
  <si>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</si>
  <si>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</si>
  <si>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</si>
  <si>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</si>
  <si>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</si>
  <si>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</si>
  <si>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</si>
  <si>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</si>
  <si>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</si>
  <si>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</si>
  <si>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</si>
  <si>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</si>
  <si>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</si>
  <si>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</si>
  <si>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</si>
  <si>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</si>
  <si>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</si>
  <si>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</si>
  <si>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</si>
  <si>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</si>
  <si>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</si>
  <si>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</si>
  <si>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</si>
  <si>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</si>
  <si>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</si>
  <si>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</si>
  <si>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</si>
  <si>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</si>
  <si>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</si>
  <si>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</si>
  <si>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</si>
  <si>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</si>
  <si>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</si>
  <si>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</si>
  <si>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</si>
  <si>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</si>
  <si>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</si>
  <si>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</si>
  <si>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</si>
  <si>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</si>
  <si>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</si>
  <si>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</si>
  <si>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</si>
  <si>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</si>
  <si>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</si>
  <si>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</si>
  <si>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</si>
  <si>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</si>
  <si>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</si>
  <si>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</si>
  <si>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</si>
  <si>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</si>
  <si>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</si>
  <si>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</si>
  <si>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</si>
  <si>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</si>
  <si>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</si>
  <si>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</si>
  <si>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</si>
  <si>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</si>
  <si>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</si>
  <si>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</si>
  <si>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</si>
  <si>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</si>
  <si>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</si>
  <si>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</si>
  <si>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</si>
  <si>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</si>
  <si>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</si>
  <si>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</si>
  <si>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</si>
  <si>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</si>
  <si>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</si>
  <si>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</si>
  <si>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</si>
  <si>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</si>
  <si>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</si>
  <si>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</si>
  <si>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</si>
  <si>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</si>
  <si>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</si>
  <si>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</si>
  <si>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</si>
  <si>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</si>
  <si>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</si>
  <si>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</si>
  <si>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</si>
  <si>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</si>
  <si>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</si>
  <si>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</si>
  <si>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</si>
  <si>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</si>
  <si>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</si>
  <si>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</si>
  <si>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</si>
  <si>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</si>
  <si>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</si>
  <si>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</si>
  <si>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</si>
  <si>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</si>
  <si>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</si>
  <si>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</si>
  <si>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</si>
  <si>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</si>
  <si>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</si>
  <si>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</si>
  <si>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</si>
  <si>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</si>
  <si>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</si>
  <si>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</si>
  <si>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</si>
  <si>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</si>
  <si>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</si>
  <si>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</si>
  <si>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</si>
  <si>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</si>
  <si>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</si>
  <si>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</si>
  <si>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</si>
  <si>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</si>
  <si>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</si>
  <si>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</si>
  <si>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</si>
  <si>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</si>
  <si>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</si>
  <si>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</si>
  <si>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</si>
  <si>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</si>
  <si>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</si>
  <si>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</si>
  <si>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</si>
  <si>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</si>
  <si>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</si>
  <si>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</si>
  <si>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</si>
  <si>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</si>
  <si>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</si>
  <si>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</si>
  <si>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</si>
  <si>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</si>
  <si>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</si>
  <si>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</si>
  <si>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</si>
  <si>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</si>
  <si>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</si>
  <si>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</si>
  <si>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</si>
  <si>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</si>
  <si>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</si>
  <si>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</si>
  <si>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</si>
  <si>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</si>
  <si>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</si>
  <si>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</si>
  <si>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</si>
  <si>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</si>
  <si>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</si>
  <si>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</si>
  <si>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</si>
  <si>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</si>
  <si>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</si>
  <si>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</si>
  <si>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</si>
  <si>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</si>
  <si>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</si>
  <si>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</si>
  <si>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</si>
  <si>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</si>
  <si>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</si>
  <si>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</si>
  <si>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</si>
  <si>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</si>
  <si>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</si>
  <si>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</si>
  <si>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</si>
  <si>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</si>
  <si>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</si>
  <si>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</si>
  <si>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</si>
  <si>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</si>
  <si>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</si>
  <si>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</si>
  <si>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</si>
  <si>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</si>
  <si>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</si>
  <si>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</si>
  <si>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</si>
  <si>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</si>
  <si>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</si>
  <si>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</si>
  <si>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</si>
  <si>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</si>
  <si>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</si>
  <si>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</si>
  <si>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</si>
  <si>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</si>
  <si>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</si>
  <si>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</si>
  <si>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</si>
  <si>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</si>
  <si>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</si>
  <si>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</si>
  <si>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</si>
  <si>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</si>
  <si>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</si>
  <si>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</si>
  <si>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</si>
  <si>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</si>
  <si>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</si>
  <si>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</si>
  <si>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</si>
  <si>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</si>
  <si>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</si>
  <si>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</si>
  <si>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</si>
  <si>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</si>
  <si>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</si>
  <si>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</si>
  <si>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</si>
  <si>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</si>
  <si>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</si>
  <si>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</si>
  <si>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</si>
  <si>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</si>
  <si>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</si>
  <si>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</si>
  <si>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</si>
  <si>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</si>
  <si>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</si>
  <si>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</si>
  <si>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</si>
  <si>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</si>
  <si>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</si>
  <si>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</si>
  <si>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</si>
  <si>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</si>
  <si>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</si>
  <si>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</si>
  <si>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</si>
  <si>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</si>
  <si>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</si>
  <si>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</si>
  <si>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</si>
  <si>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</si>
  <si>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</si>
  <si>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</si>
  <si>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</si>
  <si>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</si>
  <si>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</si>
  <si>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</si>
  <si>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</si>
  <si>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</si>
  <si>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</si>
  <si>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</si>
  <si>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</si>
  <si>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</si>
  <si>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</si>
  <si>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</si>
  <si>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</si>
  <si>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</si>
  <si>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</si>
  <si>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</si>
  <si>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</si>
  <si>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</si>
  <si>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</si>
  <si>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</si>
  <si>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</si>
  <si>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</si>
  <si>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</si>
  <si>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</si>
  <si>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</si>
  <si>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</si>
  <si>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</si>
  <si>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</si>
  <si>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</si>
  <si>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</si>
  <si>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</si>
  <si>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</si>
  <si>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</si>
  <si>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</si>
  <si>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</si>
  <si>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</si>
  <si>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</si>
  <si>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</si>
  <si>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</si>
  <si>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</si>
  <si>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</si>
  <si>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</si>
  <si>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</si>
  <si>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</si>
  <si>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</si>
  <si>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</si>
  <si>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</si>
  <si>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</si>
  <si>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</si>
  <si>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</si>
  <si>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</si>
  <si>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</si>
  <si>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</si>
  <si>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</si>
  <si>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</si>
  <si>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</si>
  <si>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</si>
  <si>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</si>
  <si>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</si>
  <si>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</si>
  <si>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</si>
  <si>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</si>
  <si>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</si>
  <si>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</si>
  <si>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</si>
  <si>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</si>
  <si>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</si>
  <si>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</si>
  <si>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</si>
  <si>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</si>
  <si>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</si>
  <si>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</si>
  <si>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</si>
  <si>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</si>
  <si>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</si>
  <si>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</si>
  <si>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</si>
  <si>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</si>
  <si>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</si>
  <si>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</si>
  <si>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</si>
  <si>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</si>
  <si>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</si>
  <si>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</si>
  <si>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</si>
  <si>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</si>
  <si>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</si>
  <si>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</si>
  <si>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</si>
  <si>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</si>
  <si>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</si>
  <si>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</si>
  <si>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</si>
  <si>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</si>
  <si>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</si>
  <si>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</si>
  <si>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</si>
  <si>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</si>
  <si>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</si>
  <si>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</si>
  <si>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</si>
  <si>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</si>
  <si>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</si>
  <si>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</si>
  <si>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</si>
  <si>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</si>
  <si>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</si>
  <si>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</si>
  <si>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</si>
  <si>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</si>
  <si>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</si>
  <si>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</si>
  <si>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</si>
  <si>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</si>
  <si>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</si>
  <si>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</si>
  <si>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</si>
  <si>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</si>
  <si>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</si>
  <si>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</si>
  <si>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</si>
  <si>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</si>
  <si>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</si>
  <si>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</si>
  <si>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</si>
  <si>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</si>
  <si>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</si>
  <si>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</si>
  <si>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</si>
  <si>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</si>
  <si>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</si>
  <si>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</si>
  <si>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</si>
  <si>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</si>
  <si>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</si>
  <si>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</si>
  <si>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</si>
  <si>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</si>
  <si>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</si>
  <si>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</si>
  <si>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</si>
  <si>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</si>
  <si>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</si>
  <si>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</si>
  <si>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</si>
  <si>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</si>
  <si>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</si>
  <si>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</si>
  <si>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</si>
  <si>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</si>
  <si>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</si>
  <si>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</si>
  <si>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</si>
  <si>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</si>
  <si>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</si>
  <si>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</si>
  <si>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</si>
  <si>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</si>
  <si>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</si>
  <si>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</si>
  <si>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</si>
  <si>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</si>
  <si>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</si>
  <si>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</si>
  <si>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</si>
  <si>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</si>
  <si>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</si>
  <si>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</si>
  <si>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</si>
  <si>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</si>
  <si>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</si>
  <si>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</si>
  <si>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</si>
  <si>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</si>
  <si>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</si>
  <si>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</si>
  <si>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</si>
  <si>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</si>
  <si>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</si>
  <si>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</si>
  <si>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</si>
  <si>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</si>
  <si>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</si>
  <si>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</si>
  <si>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</si>
  <si>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</si>
  <si>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</si>
  <si>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</si>
  <si>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</si>
  <si>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</si>
  <si>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</si>
  <si>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</si>
  <si>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</si>
  <si>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</si>
  <si>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</si>
  <si>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</si>
  <si>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</si>
  <si>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</si>
  <si>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</si>
  <si>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</si>
  <si>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</si>
  <si>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</si>
  <si>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</si>
  <si>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</si>
  <si>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</si>
  <si>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</si>
  <si>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</si>
  <si>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</si>
  <si>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</si>
  <si>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</si>
  <si>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</si>
  <si>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</si>
  <si>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</si>
  <si>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</si>
  <si>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</si>
  <si>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</si>
  <si>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</si>
  <si>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</si>
  <si>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</si>
  <si>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</si>
  <si>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</si>
  <si>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</si>
  <si>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</si>
  <si>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</si>
  <si>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</si>
  <si>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</si>
  <si>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</si>
  <si>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</si>
  <si>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</si>
  <si>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</si>
  <si>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</si>
  <si>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</si>
  <si>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</si>
  <si>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</si>
  <si>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</si>
  <si>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</si>
  <si>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</si>
  <si>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</si>
  <si>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</si>
  <si>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</si>
  <si>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</si>
  <si>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</si>
  <si>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</si>
  <si>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</si>
  <si>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</si>
  <si>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</si>
  <si>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</si>
  <si>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</si>
  <si>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</si>
  <si>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</si>
  <si>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</si>
  <si>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</si>
  <si>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</si>
  <si>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</si>
  <si>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</si>
  <si>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</si>
  <si>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</si>
  <si>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</si>
  <si>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</si>
  <si>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</si>
  <si>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</si>
  <si>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</si>
  <si>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</si>
  <si>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</si>
  <si>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</si>
  <si>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</si>
  <si>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</si>
  <si>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</si>
  <si>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</si>
  <si>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</si>
  <si>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</si>
  <si>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</si>
  <si>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</si>
  <si>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</si>
  <si>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</si>
  <si>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</si>
  <si>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</si>
  <si>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</si>
  <si>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</si>
  <si>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</si>
  <si>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</si>
  <si>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</si>
  <si>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</si>
  <si>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</si>
  <si>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</si>
  <si>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</si>
  <si>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</si>
  <si>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</si>
  <si>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</si>
  <si>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</si>
  <si>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</si>
  <si>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</si>
  <si>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</si>
  <si>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</si>
  <si>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</si>
  <si>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</si>
  <si>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</si>
  <si>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</si>
  <si>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</si>
  <si>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</si>
  <si>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</si>
  <si>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</si>
  <si>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</si>
  <si>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</si>
  <si>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</si>
  <si>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</si>
  <si>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</si>
  <si>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</si>
  <si>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</si>
  <si>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</si>
  <si>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</si>
  <si>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</si>
  <si>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</si>
  <si>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</si>
  <si>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</si>
  <si>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</si>
  <si>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</si>
  <si>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</si>
  <si>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</si>
  <si>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</si>
  <si>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</si>
  <si>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</si>
  <si>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</si>
  <si>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</si>
  <si>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</si>
  <si>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</si>
  <si>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</si>
  <si>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</si>
  <si>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</si>
  <si>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</si>
  <si>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</si>
  <si>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</si>
  <si>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</si>
  <si>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</si>
  <si>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</si>
  <si>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</si>
  <si>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</si>
  <si>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</si>
  <si>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</si>
  <si>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</si>
  <si>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</si>
  <si>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</si>
  <si>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</si>
  <si>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</si>
  <si>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</si>
  <si>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</si>
  <si>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</si>
  <si>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</si>
  <si>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</si>
  <si>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</si>
  <si>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</si>
  <si>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</si>
  <si>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</si>
  <si>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</si>
  <si>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</si>
  <si>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</si>
  <si>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</si>
  <si>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</si>
  <si>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</si>
  <si>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</si>
  <si>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</si>
  <si>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</si>
  <si>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</si>
  <si>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</si>
  <si>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</si>
  <si>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</si>
  <si>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</si>
  <si>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</si>
  <si>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</si>
  <si>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</si>
  <si>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</si>
  <si>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</si>
  <si>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</si>
  <si>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</si>
  <si>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</si>
  <si>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</si>
  <si>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</si>
  <si>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</si>
  <si>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</si>
  <si>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</si>
  <si>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</si>
  <si>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</si>
  <si>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</si>
  <si>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</si>
  <si>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</si>
  <si>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</si>
  <si>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</si>
  <si>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</si>
  <si>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</si>
  <si>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</si>
  <si>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</si>
  <si>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</si>
  <si>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</si>
  <si>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</si>
  <si>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</si>
  <si>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</si>
  <si>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</si>
  <si>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</si>
  <si>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</si>
  <si>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</si>
  <si>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</si>
  <si>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</si>
  <si>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</si>
  <si>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</si>
  <si>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</si>
  <si>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</si>
  <si>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</si>
  <si>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</si>
  <si>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</si>
  <si>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</si>
  <si>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</si>
  <si>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</si>
  <si>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</si>
  <si>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</si>
  <si>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</si>
  <si>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</si>
  <si>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</si>
  <si>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</si>
  <si>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</si>
  <si>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</si>
  <si>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</si>
  <si>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</si>
  <si>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</si>
  <si>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</si>
  <si>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</si>
  <si>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</si>
  <si>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</si>
  <si>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</si>
  <si>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</si>
  <si>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</si>
  <si>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</si>
  <si>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</si>
  <si>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</si>
  <si>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</si>
  <si>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</si>
  <si>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</si>
  <si>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</si>
  <si>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</si>
  <si>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</si>
  <si>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</si>
  <si>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</si>
  <si>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</si>
  <si>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</si>
  <si>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</si>
  <si>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</si>
  <si>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</si>
  <si>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</si>
  <si>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</si>
  <si>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</si>
  <si>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</si>
  <si>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</si>
  <si>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</si>
  <si>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</si>
  <si>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</si>
  <si>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</si>
  <si>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</si>
  <si>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</si>
  <si>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</si>
  <si>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</si>
  <si>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</si>
  <si>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</si>
  <si>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</si>
  <si>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</si>
  <si>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</si>
  <si>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</si>
  <si>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</si>
  <si>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</si>
  <si>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</si>
  <si>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</si>
  <si>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</si>
  <si>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</si>
  <si>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</si>
  <si>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</si>
  <si>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</si>
  <si>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</si>
  <si>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</si>
  <si>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</si>
  <si>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</si>
  <si>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</si>
  <si>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</si>
  <si>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</si>
  <si>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</si>
  <si>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</si>
  <si>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</si>
  <si>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</si>
  <si>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</si>
  <si>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</si>
  <si>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</si>
  <si>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</si>
  <si>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</si>
  <si>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</si>
  <si>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</si>
  <si>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</si>
  <si>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</si>
  <si>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</si>
  <si>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</si>
  <si>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</si>
  <si>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</si>
  <si>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</si>
  <si>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</si>
  <si>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</si>
  <si>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</si>
  <si>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</si>
  <si>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</si>
  <si>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</si>
  <si>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</si>
  <si>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</si>
  <si>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</si>
  <si>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</si>
  <si>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</si>
  <si>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</si>
  <si>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</si>
  <si>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</si>
  <si>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</si>
  <si>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</si>
  <si>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</si>
  <si>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</si>
  <si>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</si>
  <si>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</si>
  <si>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</si>
  <si>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</si>
  <si>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</si>
  <si>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</si>
  <si>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</si>
  <si>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</si>
  <si>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</si>
  <si>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</si>
  <si>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</si>
  <si>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</si>
  <si>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</si>
  <si>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</si>
  <si>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</si>
  <si>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</si>
  <si>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</si>
  <si>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</si>
  <si>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</si>
  <si>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</si>
  <si>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</si>
  <si>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</si>
  <si>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</si>
  <si>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</si>
  <si>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</si>
  <si>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</si>
  <si>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</si>
  <si>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</si>
  <si>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</si>
  <si>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</si>
  <si>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</si>
  <si>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</si>
  <si>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</si>
  <si>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</si>
  <si>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</si>
  <si>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</si>
  <si>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</si>
  <si>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</si>
  <si>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</si>
  <si>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</si>
  <si>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</si>
  <si>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</si>
  <si>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</si>
  <si>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</si>
  <si>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</si>
  <si>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</si>
  <si>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</si>
  <si>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</si>
  <si>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</si>
  <si>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</si>
  <si>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</si>
  <si>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</si>
  <si>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</si>
  <si>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</si>
  <si>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</si>
  <si>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</si>
  <si>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</si>
  <si>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</si>
  <si>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</si>
  <si>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</si>
  <si>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</si>
  <si>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</si>
  <si>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</si>
  <si>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</si>
  <si>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</si>
  <si>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</si>
  <si>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</si>
  <si>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</si>
  <si>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</si>
  <si>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</si>
  <si>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</si>
  <si>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</si>
  <si>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</si>
  <si>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</si>
  <si>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</si>
  <si>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</si>
  <si>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</si>
  <si>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</si>
  <si>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</si>
  <si>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</si>
  <si>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</si>
  <si>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</si>
  <si>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</si>
  <si>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</si>
  <si>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</si>
  <si>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</si>
  <si>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</si>
  <si>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</si>
  <si>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</si>
  <si>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</si>
  <si>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</si>
  <si>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</si>
  <si>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</si>
  <si>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</si>
  <si>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</si>
  <si>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</si>
  <si>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</si>
  <si>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</si>
  <si>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</si>
  <si>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</si>
  <si>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</si>
  <si>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</si>
  <si>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</si>
  <si>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</si>
  <si>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</si>
  <si>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</si>
  <si>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</si>
  <si>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</si>
  <si>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</si>
  <si>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</si>
  <si>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</si>
  <si>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</si>
  <si>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</si>
  <si>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</si>
  <si>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</si>
  <si>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</si>
  <si>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</si>
  <si>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</si>
  <si>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</si>
  <si>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</si>
  <si>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</si>
  <si>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</si>
  <si>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</si>
  <si>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</si>
  <si>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</si>
  <si>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</si>
  <si>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</si>
  <si>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</si>
  <si>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</si>
  <si>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</si>
  <si>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</si>
  <si>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</si>
  <si>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</si>
  <si>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</si>
  <si>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</si>
  <si>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</si>
  <si>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</si>
  <si>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</si>
  <si>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</si>
  <si>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</si>
  <si>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</si>
  <si>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</si>
  <si>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</si>
  <si>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</si>
  <si>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</si>
  <si>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</si>
  <si>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</si>
  <si>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</si>
  <si>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</si>
  <si>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</si>
  <si>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</si>
  <si>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</si>
  <si>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</si>
  <si>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</si>
  <si>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</si>
  <si>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</si>
  <si>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</si>
  <si>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</si>
  <si>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</si>
  <si>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</si>
  <si>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</si>
  <si>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</si>
  <si>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</si>
  <si>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</si>
  <si>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</si>
  <si>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</si>
  <si>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</si>
  <si>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</si>
  <si>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</si>
  <si>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</si>
  <si>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</si>
  <si>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</si>
  <si>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</si>
  <si>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</si>
  <si>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</si>
  <si>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</si>
  <si>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</si>
  <si>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</si>
  <si>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</si>
  <si>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</si>
  <si>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</si>
  <si>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</si>
  <si>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</si>
  <si>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</si>
  <si>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</si>
  <si>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</si>
  <si>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</si>
  <si>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</si>
  <si>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</si>
  <si>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</si>
  <si>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</si>
  <si>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</si>
  <si>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</si>
  <si>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</si>
  <si>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</si>
  <si>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</si>
  <si>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</si>
  <si>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</si>
  <si>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</si>
  <si>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</si>
  <si>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</si>
  <si>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</si>
  <si>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</si>
  <si>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</si>
  <si>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</si>
  <si>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</si>
  <si>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</si>
  <si>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</si>
  <si>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</si>
  <si>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</si>
  <si>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</si>
  <si>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</si>
  <si>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</si>
  <si>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</si>
  <si>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</si>
  <si>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</si>
  <si>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</si>
  <si>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</si>
  <si>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</si>
  <si>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</si>
  <si>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</si>
  <si>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</si>
  <si>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</si>
  <si>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</si>
  <si>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</si>
  <si>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</si>
  <si>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</si>
  <si>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</si>
  <si>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</si>
  <si>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</si>
  <si>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</si>
  <si>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</si>
  <si>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</si>
  <si>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</si>
  <si>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</si>
  <si>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</si>
  <si>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</si>
  <si>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</si>
  <si>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</si>
  <si>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</si>
  <si>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</si>
  <si>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</si>
  <si>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</si>
  <si>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</si>
  <si>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</si>
  <si>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</si>
  <si>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</si>
  <si>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</si>
  <si>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</si>
  <si>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</si>
  <si>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</si>
  <si>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</si>
  <si>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</si>
  <si>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</si>
  <si>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</si>
  <si>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</si>
  <si>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</si>
  <si>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</si>
  <si>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</si>
  <si>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</si>
  <si>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</si>
  <si>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</si>
  <si>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</si>
  <si>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</si>
  <si>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</si>
  <si>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</si>
  <si>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</si>
  <si>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</si>
  <si>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</si>
  <si>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</si>
  <si>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</si>
  <si>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</si>
  <si>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</si>
  <si>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</si>
  <si>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</si>
  <si>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</si>
  <si>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</si>
  <si>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</si>
  <si>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</si>
  <si>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</si>
  <si>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</si>
  <si>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</si>
  <si>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</si>
  <si>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</si>
  <si>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</si>
  <si>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</si>
  <si>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</si>
  <si>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</si>
  <si>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</si>
  <si>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</si>
  <si>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</si>
  <si>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</si>
  <si>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</si>
  <si>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</si>
  <si>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</si>
  <si>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</si>
  <si>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</si>
  <si>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</si>
  <si>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</si>
  <si>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</si>
  <si>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</si>
  <si>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</si>
  <si>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</si>
  <si>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</si>
  <si>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</si>
  <si>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</si>
  <si>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</si>
  <si>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</si>
  <si>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</si>
  <si>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</si>
  <si>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</si>
  <si>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</si>
  <si>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</si>
  <si>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</si>
  <si>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</si>
  <si>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</si>
  <si>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</si>
  <si>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</si>
  <si>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</si>
  <si>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</si>
  <si>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</si>
  <si>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</si>
  <si>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</si>
  <si>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</si>
  <si>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</si>
  <si>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</si>
  <si>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</si>
  <si>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</si>
  <si>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</si>
  <si>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</si>
  <si>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</si>
  <si>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</si>
  <si>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</si>
  <si>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</si>
  <si>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</si>
  <si>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</si>
  <si>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</si>
  <si>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</si>
  <si>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</si>
  <si>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</si>
  <si>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</si>
  <si>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</si>
  <si>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</si>
  <si>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</si>
  <si>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</si>
  <si>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</si>
  <si>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</si>
  <si>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</si>
  <si>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</si>
  <si>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</si>
  <si>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</si>
  <si>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</si>
  <si>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</si>
  <si>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</si>
  <si>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</si>
  <si>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</si>
  <si>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</si>
  <si>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</si>
  <si>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</si>
  <si>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</si>
  <si>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</si>
  <si>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</si>
  <si>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</si>
  <si>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</si>
  <si>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</si>
  <si>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</si>
  <si>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</si>
  <si>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</si>
  <si>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</si>
  <si>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</si>
  <si>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</si>
  <si>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</si>
  <si>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</si>
  <si>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</si>
  <si>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</si>
  <si>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</si>
  <si>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</si>
  <si>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</si>
  <si>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</si>
  <si>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</si>
  <si>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</si>
  <si>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</si>
  <si>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</si>
  <si>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</si>
  <si>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</si>
  <si>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</si>
  <si>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</si>
  <si>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</si>
  <si>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</si>
  <si>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</si>
  <si>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</si>
  <si>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</si>
  <si>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</si>
  <si>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</si>
  <si>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</si>
  <si>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</si>
  <si>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</si>
  <si>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</si>
  <si>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</si>
  <si>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</si>
  <si>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</si>
  <si>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</si>
  <si>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</si>
  <si>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</si>
  <si>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</si>
  <si>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</si>
  <si>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</si>
  <si>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</si>
  <si>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</si>
  <si>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</si>
  <si>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</si>
  <si>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</si>
  <si>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</si>
  <si>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</si>
  <si>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</si>
  <si>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</si>
  <si>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</si>
  <si>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</si>
  <si>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</si>
  <si>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</si>
  <si>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</si>
  <si>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</si>
  <si>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</si>
  <si>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</si>
  <si>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</si>
  <si>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</si>
  <si>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</si>
  <si>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</si>
  <si>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</si>
  <si>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</si>
  <si>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</si>
  <si>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</si>
  <si>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</si>
  <si>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</si>
  <si>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</si>
  <si>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</si>
  <si>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</si>
  <si>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</si>
  <si>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</si>
  <si>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</si>
  <si>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</si>
  <si>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</si>
  <si>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</si>
  <si>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</si>
  <si>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</si>
  <si>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</si>
  <si>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</si>
  <si>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</si>
  <si>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</si>
  <si>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</si>
  <si>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</si>
  <si>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</si>
  <si>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</si>
  <si>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</si>
  <si>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</si>
  <si>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</si>
  <si>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</si>
  <si>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</si>
  <si>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</si>
  <si>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</si>
  <si>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</si>
  <si>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</si>
  <si>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</si>
  <si>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</si>
  <si>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</si>
  <si>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</si>
  <si>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</si>
  <si>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</si>
  <si>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</si>
  <si>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</si>
  <si>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</si>
  <si>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</si>
  <si>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</si>
  <si>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</si>
  <si>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</si>
  <si>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</si>
  <si>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</si>
  <si>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</si>
  <si>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</si>
  <si>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</si>
  <si>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</si>
  <si>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</si>
  <si>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</si>
  <si>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</si>
  <si>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</si>
  <si>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</si>
  <si>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</si>
  <si>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</si>
  <si>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</si>
  <si>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</si>
  <si>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</si>
  <si>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</si>
  <si>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</si>
  <si>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</si>
  <si>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</si>
  <si>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</si>
  <si>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</si>
  <si>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</si>
  <si>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</si>
  <si>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</si>
  <si>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</si>
  <si>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</si>
  <si>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</si>
  <si>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</si>
  <si>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</si>
  <si>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</si>
  <si>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</si>
  <si>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</si>
  <si>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</si>
  <si>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</si>
  <si>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</si>
  <si>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</si>
  <si>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</si>
  <si>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</si>
  <si>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</si>
  <si>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</si>
  <si>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</si>
  <si>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</si>
  <si>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</si>
  <si>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</si>
  <si>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</si>
  <si>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</si>
  <si>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</si>
  <si>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</si>
  <si>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</si>
  <si>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</si>
  <si>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</si>
  <si>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</si>
  <si>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</si>
  <si>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</si>
  <si>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</si>
  <si>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</si>
  <si>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</si>
  <si>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</si>
  <si>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</si>
  <si>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</si>
  <si>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</si>
  <si>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</si>
  <si>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</si>
  <si>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</si>
  <si>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</si>
  <si>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</si>
  <si>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</si>
  <si>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</si>
  <si>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</si>
  <si>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</si>
  <si>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</si>
  <si>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</si>
  <si>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</si>
  <si>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</si>
  <si>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</si>
  <si>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</si>
  <si>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</si>
  <si>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</si>
  <si>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</si>
  <si>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</si>
  <si>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</si>
  <si>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</si>
  <si>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</si>
  <si>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</si>
  <si>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</si>
  <si>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</si>
  <si>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</si>
  <si>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</si>
  <si>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</si>
  <si>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</si>
  <si>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</si>
  <si>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</si>
  <si>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</si>
  <si>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</si>
  <si>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</si>
  <si>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</si>
  <si>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</si>
  <si>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</si>
  <si>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</si>
  <si>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</si>
  <si>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</si>
  <si>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</si>
  <si>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</si>
  <si>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</si>
  <si>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</si>
  <si>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</si>
  <si>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</si>
  <si>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</si>
  <si>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</si>
  <si>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</si>
  <si>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</si>
  <si>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</si>
  <si>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</si>
  <si>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</si>
  <si>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</si>
  <si>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</si>
  <si>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</si>
  <si>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</si>
  <si>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</si>
  <si>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</si>
  <si>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</si>
  <si>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</si>
  <si>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</si>
  <si>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</si>
  <si>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</si>
  <si>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</si>
  <si>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</si>
  <si>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</si>
  <si>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</si>
  <si>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</si>
  <si>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</si>
  <si>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</si>
  <si>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</si>
  <si>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</si>
  <si>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</si>
  <si>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</si>
  <si>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</si>
  <si>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</si>
  <si>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</si>
  <si>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</si>
  <si>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</si>
  <si>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</si>
  <si>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</si>
  <si>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</si>
  <si>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</si>
  <si>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</si>
  <si>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</si>
  <si>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</si>
  <si>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</si>
  <si>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</si>
  <si>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</si>
  <si>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</si>
  <si>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</si>
  <si>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</si>
  <si>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</si>
  <si>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</si>
  <si>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</si>
  <si>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</si>
  <si>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</si>
  <si>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</si>
  <si>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</si>
  <si>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</si>
  <si>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</si>
  <si>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</si>
  <si>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</si>
  <si>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</si>
  <si>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</si>
  <si>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</si>
  <si>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</si>
  <si>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</si>
  <si>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</si>
  <si>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</si>
  <si>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</si>
  <si>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</si>
  <si>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</si>
  <si>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</si>
  <si>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</si>
  <si>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</si>
  <si>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</si>
  <si>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</si>
  <si>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</si>
  <si>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</si>
  <si>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</si>
  <si>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</si>
  <si>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</si>
  <si>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</si>
  <si>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</si>
  <si>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</si>
  <si>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</si>
  <si>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</si>
  <si>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</si>
  <si>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</si>
  <si>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</si>
  <si>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</si>
  <si>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</si>
  <si>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</si>
  <si>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</si>
  <si>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</si>
  <si>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</si>
  <si>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</si>
  <si>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</si>
  <si>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</si>
  <si>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</si>
  <si>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</si>
  <si>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</si>
  <si>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</si>
  <si>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</si>
  <si>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</si>
  <si>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</si>
  <si>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</si>
  <si>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</si>
  <si>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</si>
  <si>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</si>
  <si>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</si>
  <si>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</si>
  <si>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</si>
  <si>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</si>
  <si>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</si>
  <si>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</si>
  <si>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</si>
  <si>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</si>
  <si>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</si>
  <si>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  <phoneticPr fontId="4" type="noConversion"/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</si>
  <si>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</si>
  <si>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</si>
  <si>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</si>
  <si>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</si>
  <si>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</si>
  <si>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</si>
  <si>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</si>
  <si>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</si>
  <si>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</si>
  <si>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</si>
  <si>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</si>
  <si>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</si>
  <si>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</si>
  <si>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</si>
  <si>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</si>
  <si>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</si>
  <si>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</si>
  <si>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</si>
  <si>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</si>
  <si>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</si>
  <si>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操作</t>
    <phoneticPr fontId="4" type="noConversion"/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</si>
  <si>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</si>
  <si>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</si>
  <si>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</si>
  <si>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</si>
  <si>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</si>
  <si>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</si>
  <si>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</si>
  <si>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</si>
  <si>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</si>
  <si>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</si>
  <si>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</si>
  <si>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</si>
  <si>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</si>
  <si>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</si>
  <si>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</si>
  <si>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</si>
  <si>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</si>
  <si>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</si>
  <si>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</si>
  <si>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</si>
  <si>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</si>
  <si>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</si>
  <si>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</si>
  <si>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</si>
  <si>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</si>
  <si>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</si>
  <si>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</si>
  <si>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</si>
  <si>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</si>
  <si>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</si>
  <si>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</si>
  <si>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</si>
  <si>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</si>
  <si>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</si>
  <si>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</si>
  <si>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</si>
  <si>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</si>
  <si>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</si>
  <si>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</si>
  <si>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</si>
  <si>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</si>
  <si>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</si>
  <si>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</si>
  <si>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</si>
  <si>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</si>
  <si>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</si>
  <si>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</si>
  <si>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</si>
  <si>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</si>
  <si>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</si>
  <si>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</si>
  <si>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</si>
  <si>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</si>
  <si>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</si>
  <si>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</si>
  <si>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</si>
  <si>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</si>
  <si>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</si>
  <si>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</si>
  <si>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</si>
  <si>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</si>
  <si>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</si>
  <si>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</si>
  <si>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</si>
  <si>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</si>
  <si>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</si>
  <si>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</si>
  <si>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</si>
  <si>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</si>
  <si>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</si>
  <si>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</si>
  <si>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</si>
  <si>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</si>
  <si>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</si>
  <si>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</si>
  <si>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</si>
  <si>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VW814</t>
  </si>
  <si>
    <t>VW816</t>
  </si>
  <si>
    <t>系统状态时间</t>
  </si>
  <si>
    <t>操作步骤</t>
  </si>
  <si>
    <t>预期结果</t>
  </si>
  <si>
    <t>实测结果</t>
  </si>
  <si>
    <t>☐ 通过</t>
  </si>
  <si>
    <t>异常</t>
  </si>
  <si>
    <t>检漏异常报警，并且无法开机，必须再次检漏，通过后才能开机。</t>
  </si>
  <si>
    <t>检测通过</t>
  </si>
  <si>
    <t>不能启动</t>
  </si>
  <si>
    <t>吹扫</t>
  </si>
  <si>
    <t>正常吹扫</t>
  </si>
  <si>
    <t>点火准备</t>
  </si>
  <si>
    <t>正常进入点火</t>
  </si>
  <si>
    <t>高压放电，持续【打火时长】秒时间，火焰稳定超过2秒</t>
  </si>
  <si>
    <t>点火成功，转入小火运行</t>
  </si>
  <si>
    <t>高压放电打火结束，没建立火焰或火焰无法稳定【火焰建立时长】1秒以上，点火失败</t>
  </si>
  <si>
    <t>报警：点火失败</t>
  </si>
  <si>
    <t>火焰丢失</t>
  </si>
  <si>
    <t>正常运行中，火焰丢失超过2【火焰丢失延时】秒，报警</t>
  </si>
  <si>
    <t>报警：火焰丢失</t>
  </si>
  <si>
    <t>主火运行</t>
  </si>
  <si>
    <t>开启主火阀V2、安全阀V1</t>
  </si>
  <si>
    <t>阀正常开启</t>
  </si>
  <si>
    <t>温控启停</t>
  </si>
  <si>
    <t>调节当前温度为超过停机温度</t>
  </si>
  <si>
    <t>超过设定温度，关闭主火阀、安全阀</t>
  </si>
  <si>
    <t>手动模式</t>
  </si>
  <si>
    <t>手动模式按屏幕上增档、减档</t>
  </si>
  <si>
    <t>档位随增减档而变动</t>
  </si>
  <si>
    <t>自动模式</t>
  </si>
  <si>
    <t>自动模式升降档由PID控制，改变当前温度，观察档位变化情况</t>
  </si>
  <si>
    <t>随温度升高而降档</t>
  </si>
  <si>
    <t>阶段升温</t>
  </si>
  <si>
    <t>观察目标温度是否按照设定的温度变化</t>
  </si>
  <si>
    <t>会变化</t>
  </si>
  <si>
    <t>485通讯</t>
  </si>
  <si>
    <t>能看到</t>
  </si>
  <si>
    <t>本地_远程</t>
  </si>
  <si>
    <t>本地_远程互斥</t>
  </si>
  <si>
    <t>上电-检漏
手动-检漏</t>
    <phoneticPr fontId="32" type="noConversion"/>
  </si>
  <si>
    <t>V1灯亮，接通燃气低压开关
V2灯亮，关闭燃气低压开关</t>
    <phoneticPr fontId="32" type="noConversion"/>
  </si>
  <si>
    <t>在30秒内
空气调节阀打开至吹扫位置
燃气调节阀打开至20%</t>
    <phoneticPr fontId="32" type="noConversion"/>
  </si>
  <si>
    <t>上电-调节阀检测
手动-调节阀检测</t>
    <phoneticPr fontId="32" type="noConversion"/>
  </si>
  <si>
    <t>V1灯亮，不接通燃气低压开关
V2灯亮，燃气低压开关接能，不关闭</t>
    <phoneticPr fontId="32" type="noConversion"/>
  </si>
  <si>
    <t>在30秒内
1、空气调节阀没有打开至吹扫位置
2、燃气调节阀没有打开至20%</t>
    <phoneticPr fontId="32" type="noConversion"/>
  </si>
  <si>
    <t>HMI 空气调节阀 闪红灯
HMI 燃气调节阀 闪红灯</t>
    <phoneticPr fontId="32" type="noConversion"/>
  </si>
  <si>
    <t>上电-检测中启动
手动-检测中启动</t>
    <phoneticPr fontId="32" type="noConversion"/>
  </si>
  <si>
    <t>以上四步
在进行检测中，按启动按钮</t>
    <phoneticPr fontId="32" type="noConversion"/>
  </si>
  <si>
    <t>调节阀走到位，开始吹扫
调节阀没走到位，达到限制时长30秒，开始吹扫</t>
    <phoneticPr fontId="32" type="noConversion"/>
  </si>
  <si>
    <t>调节阀走到位，开始点火
调节阀没走到位，达到限制时长30秒，开始点火</t>
    <phoneticPr fontId="32" type="noConversion"/>
  </si>
  <si>
    <t>观察远程是否能正常看到设备状态
故障状态、自动状态、启动状态、停止状态、远程状态
空气调节阀开度、燃气调节阀开度、当前温度、当前档位、PID温度（阶段6）</t>
    <phoneticPr fontId="32" type="noConversion"/>
  </si>
  <si>
    <t>切换本地远程旋钮
操作 启动、停止、复位</t>
    <phoneticPr fontId="32" type="noConversion"/>
  </si>
  <si>
    <t>正常</t>
  </si>
  <si>
    <t>正常</t>
    <phoneticPr fontId="32" type="noConversion"/>
  </si>
  <si>
    <t>类别</t>
    <phoneticPr fontId="32" type="noConversion"/>
  </si>
  <si>
    <t>项目</t>
    <phoneticPr fontId="32" type="noConversion"/>
  </si>
  <si>
    <t>C_Leak_CountDown_CT</t>
  </si>
  <si>
    <t>C103</t>
  </si>
  <si>
    <t>检漏倒计时 计数器</t>
  </si>
  <si>
    <t>C_Valve_Detect_CT</t>
  </si>
  <si>
    <t>C104</t>
  </si>
  <si>
    <t>调节阀检测倒计时 计数器</t>
  </si>
  <si>
    <t>C_Purge_CountDown_CT</t>
  </si>
  <si>
    <t>C105</t>
  </si>
  <si>
    <t>吹扫倒计时 计数器</t>
  </si>
  <si>
    <t>C_Ignite_CountDown_CT</t>
  </si>
  <si>
    <t>C106</t>
  </si>
  <si>
    <t>点火 倒计时 计数器</t>
  </si>
  <si>
    <t>M_Over_Temp_FLG</t>
  </si>
  <si>
    <t>当前温度超过停机温度 标志，此时关大火</t>
  </si>
  <si>
    <t>M_Temp_Error_FLG</t>
  </si>
  <si>
    <t>温度错误，DCS传送温度数据有误，请</t>
  </si>
  <si>
    <t>M_Sys_Detect_PASS_FLG</t>
  </si>
  <si>
    <t>系统预检通过标志</t>
  </si>
  <si>
    <t>M_Leak_Tips_FLG</t>
  </si>
  <si>
    <t>检漏提示标志</t>
  </si>
  <si>
    <t>M_Valve_Tips_FLG</t>
  </si>
  <si>
    <t>调节阀检测过程中，禁止启动，点启动按钮，弹窗提醒</t>
  </si>
  <si>
    <t>M_Temp_Error_Tips_FLG</t>
  </si>
  <si>
    <t>温度错误，提示用户</t>
  </si>
  <si>
    <t>M_ValveCut_EXE</t>
  </si>
  <si>
    <t>M_ValveSafety_EXE</t>
  </si>
  <si>
    <t>M_Open_Valve_Big_CMD</t>
  </si>
  <si>
    <t>手动开主火 虚拟按钮</t>
  </si>
  <si>
    <t>点火失败报警</t>
  </si>
  <si>
    <t>点火延时定时器，从调节阀走到位到高压包放电之间的时间间隔</t>
  </si>
  <si>
    <t>T_Leak_Total_Time</t>
  </si>
  <si>
    <t>检漏总时长定时器</t>
  </si>
  <si>
    <t>T_Over_Temp_Delay_Time</t>
  </si>
  <si>
    <t>超温 超过停机温度延时定时器</t>
  </si>
  <si>
    <t>T_Under_Temp_Delay_Time</t>
  </si>
  <si>
    <t>超温 低于开机温度延时定时器</t>
  </si>
  <si>
    <t>B_Ignate_Backup_Status</t>
  </si>
  <si>
    <t>VB812</t>
  </si>
  <si>
    <t>0正常；1点火备用，取消前火检</t>
  </si>
  <si>
    <t>R_Over_Temp_Open_VAL</t>
  </si>
  <si>
    <t>VD100</t>
  </si>
  <si>
    <t>温控开机温度 = 停机温度 - 超温回差值</t>
  </si>
  <si>
    <t>DI_ValveLift_Air_Per</t>
  </si>
  <si>
    <t>VD146</t>
  </si>
  <si>
    <t>空气调节阀 开度 整数值 %</t>
  </si>
  <si>
    <t>DI_ValveLift_Gas_Per</t>
  </si>
  <si>
    <t>VD150</t>
  </si>
  <si>
    <t>燃气调节阀 开度 整数值 %</t>
  </si>
  <si>
    <t>R_Over_Temp_Diff_SET</t>
  </si>
  <si>
    <t>VD586</t>
  </si>
  <si>
    <t>超温回差，当 温度低于停机温度减去该值，开主火</t>
  </si>
  <si>
    <t>VD1648</t>
  </si>
  <si>
    <t>远程 温度显示</t>
  </si>
  <si>
    <t>远程 当前档位RTU</t>
  </si>
  <si>
    <t>远程 目标温度RTU</t>
  </si>
  <si>
    <t>W_Valve_Detect_CD_VAL</t>
  </si>
  <si>
    <t>VW138</t>
  </si>
  <si>
    <t>调节阀检测倒计时 计算值</t>
  </si>
  <si>
    <t>W_Leak_CD_VAL</t>
  </si>
  <si>
    <t>VW140</t>
  </si>
  <si>
    <t>检漏倒计时 计算值</t>
  </si>
  <si>
    <t>W_Purge_CD_VAL</t>
  </si>
  <si>
    <t>VW142</t>
  </si>
  <si>
    <t>吹扫倒计时 计算值</t>
  </si>
  <si>
    <t>W_Ignite_CD_VAL</t>
  </si>
  <si>
    <t>VW144</t>
  </si>
  <si>
    <t>高压打火 倒计时 计算值</t>
  </si>
  <si>
    <t>W_ValveLift_Air_VAL_Per</t>
  </si>
  <si>
    <t>VW154</t>
  </si>
  <si>
    <t>空气调节阀开度 整数 %</t>
  </si>
  <si>
    <t>W_ValveLift_Gas_VAL_Per</t>
  </si>
  <si>
    <t>VW156</t>
  </si>
  <si>
    <t>燃气调节阀开度 整数 %</t>
  </si>
  <si>
    <t>W_Sys_Status</t>
  </si>
  <si>
    <t>W_Sys_Status_Time</t>
  </si>
  <si>
    <t>W_Remote_Temp_VAL</t>
  </si>
  <si>
    <t>W_Remote_Air_P_VAL</t>
  </si>
  <si>
    <t>当前管道空气压力，风压</t>
  </si>
  <si>
    <t>1.检漏、调节阀检测中……2.检测完成3.设备停止4.正在启动……5.正在吹扫……6.吹扫完成7.点火准备中……8.正在点火……9.点火成功10.【小火运行】11.【主火运行】12.故障报警13.温控停机</t>
    <phoneticPr fontId="21" type="noConversion"/>
  </si>
  <si>
    <t>地址</t>
    <phoneticPr fontId="32" type="noConversion"/>
  </si>
  <si>
    <t>差值</t>
    <phoneticPr fontId="32" type="noConversion"/>
  </si>
  <si>
    <t>存储区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</si>
</sst>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4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4" fillId="0" borderId="1" xfId="0" applyFont="1" applyBorder="1" applyAlignment="1">
      <alignment horizontal="right" vertical="center"/>
    </xf>
    <xf numFmtId="177" fontId="2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Border="1" applyAlignment="1">
      <alignment horizontal="right" vertical="center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3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3" fillId="2" borderId="1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3" fillId="2" borderId="1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</cellXfs>
  <cellStyles count="2">
    <cellStyle name="常规" xfId="0" builtinId="0"/>
    <cellStyle name="常规 4 2" xfId="1" xr:uid="{C97CC49E-8548-40A7-B373-8E3F8F01BD97}"/>
  </cellStyles>
  <dxfs count="9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98" dataDxfId="96" headerRowBorderDxfId="97" tableBorderDxfId="95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94"/>
    <tableColumn id="1" xr3:uid="{00000000-0010-0000-0100-000001000000}" name="名称" dataDxfId="93"/>
    <tableColumn id="2" xr3:uid="{00000000-0010-0000-0100-000002000000}" name="代码" dataDxfId="92"/>
    <tableColumn id="3" xr3:uid="{00000000-0010-0000-0100-000003000000}" name="存储区域" dataDxfId="91"/>
    <tableColumn id="4" xr3:uid="{00000000-0010-0000-0100-000004000000}" name="示例" dataDxfId="90"/>
    <tableColumn id="6" xr3:uid="{00000000-0010-0000-0100-000006000000}" name="说明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DED1F-1C4B-4D84-8FD0-826AE3C701E6}" name="表2" displayName="表2" ref="A1:E18" totalsRowShown="0" headerRowDxfId="88" dataDxfId="87">
  <autoFilter ref="A1:E18" xr:uid="{28DDED1F-1C4B-4D84-8FD0-826AE3C701E6}"/>
  <tableColumns count="5">
    <tableColumn id="1" xr3:uid="{092C8F4C-750F-4A54-9775-0E878E7F692D}" name="类别" dataDxfId="86"/>
    <tableColumn id="2" xr3:uid="{55E7343C-005A-47DD-BF51-A98FEB8687FA}" name="项目" dataDxfId="85"/>
    <tableColumn id="3" xr3:uid="{E219FFED-DB05-4801-BA8C-E5182B5E135C}" name="操作步骤" dataDxfId="84"/>
    <tableColumn id="4" xr3:uid="{37775F0D-5709-4D26-8B0D-3C61F165FF43}" name="预期结果" dataDxfId="83"/>
    <tableColumn id="5" xr3:uid="{1DD79E4F-C3FB-4EA3-8CB8-5707D129384D}" name="实测结果" dataDxfId="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81" dataDxfId="79" headerRowBorderDxfId="80" tableBorderDxfId="78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7"/>
    <tableColumn id="2" xr3:uid="{00000000-0010-0000-0300-000002000000}" name="排序" dataDxfId="76"/>
    <tableColumn id="3" xr3:uid="{00000000-0010-0000-0300-000003000000}" name="符号" dataDxfId="75"/>
    <tableColumn id="4" xr3:uid="{00000000-0010-0000-0300-000004000000}" name="地址" dataDxfId="74"/>
    <tableColumn id="5" xr3:uid="{00000000-0010-0000-0300-000005000000}" name="注释" dataDxfId="73"/>
    <tableColumn id="6" xr3:uid="{00000000-0010-0000-0300-000006000000}" name="停电保持" dataDxfId="7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71" dataDxfId="69" headerRowBorderDxfId="70" tableBorderDxfId="68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7"/>
    <tableColumn id="2" xr3:uid="{00000000-0010-0000-0500-000002000000}" name="排序" dataDxfId="66">
      <calculatedColumnFormula>VALUE(RIGHT(D2,LEN(D2)-LEN(A2)))</calculatedColumnFormula>
    </tableColumn>
    <tableColumn id="3" xr3:uid="{00000000-0010-0000-0500-000003000000}" name="符号" dataDxfId="65"/>
    <tableColumn id="4" xr3:uid="{00000000-0010-0000-0500-000004000000}" name="地址" dataDxfId="64"/>
    <tableColumn id="5" xr3:uid="{00000000-0010-0000-0500-000005000000}" name="注释" dataDxfId="63"/>
    <tableColumn id="6" xr3:uid="{00000000-0010-0000-0500-000006000000}" name="停电保持" dataDxfId="6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61" dataDxfId="60">
  <autoFilter ref="B1:G17" xr:uid="{94000AEE-EA2C-4D0D-8C4C-2ABB18A8C2A9}"/>
  <tableColumns count="6">
    <tableColumn id="2" xr3:uid="{00000000-0010-0000-0700-000002000000}" name="从站 HoldStar=500" dataDxfId="59"/>
    <tableColumn id="9" xr3:uid="{00000000-0010-0000-0700-000009000000}" name="符号" dataDxfId="58"/>
    <tableColumn id="3" xr3:uid="{00000000-0010-0000-0700-000003000000}" name="从站 HoldStar=1500" dataDxfId="57"/>
    <tableColumn id="8" xr3:uid="{00000000-0010-0000-0700-000008000000}" name="注释" dataDxfId="56"/>
    <tableColumn id="4" xr3:uid="{00000000-0010-0000-0700-000004000000}" name="Modbus主站地址" dataDxfId="55"/>
    <tableColumn id="5" xr3:uid="{00000000-0010-0000-0700-000005000000}" name="备注" dataDxfId="5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53" dataDxfId="51" headerRowBorderDxfId="52" tableBorderDxfId="50" totalsRowBorderDxfId="49">
  <autoFilter ref="A1:B3" xr:uid="{2D618419-CC93-4748-AC73-50D15728A337}"/>
  <tableColumns count="2">
    <tableColumn id="1" xr3:uid="{00000000-0010-0000-0900-000001000000}" name="设备" dataDxfId="48"/>
    <tableColumn id="2" xr3:uid="{00000000-0010-0000-0900-000002000000}" name="缩写" dataDxfId="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6" dataDxfId="44" headerRowBorderDxfId="45" tableBorderDxfId="43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42"/>
    <tableColumn id="2" xr3:uid="{00000000-0010-0000-0B00-000002000000}" name="排序" dataDxfId="41">
      <calculatedColumnFormula>VALUE(RIGHT(D2,LEN(D2)-LEN(A2)))</calculatedColumnFormula>
    </tableColumn>
    <tableColumn id="3" xr3:uid="{00000000-0010-0000-0B00-000003000000}" name="符号" dataDxfId="40"/>
    <tableColumn id="4" xr3:uid="{00000000-0010-0000-0B00-000004000000}" name="地址" dataDxfId="39"/>
    <tableColumn id="5" xr3:uid="{00000000-0010-0000-0B00-000005000000}" name="注释" dataDxfId="38"/>
    <tableColumn id="6" xr3:uid="{00000000-0010-0000-0B00-000006000000}" name="停电保持" dataDxfId="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6" dataDxfId="34" headerRowBorderDxfId="35" tableBorderDxfId="33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32"/>
    <tableColumn id="2" xr3:uid="{00000000-0010-0000-0D00-000002000000}" name="排序" dataDxfId="31">
      <calculatedColumnFormula>VALUE(RIGHT(D2,LEN(D2)-LEN(A2)))</calculatedColumnFormula>
    </tableColumn>
    <tableColumn id="3" xr3:uid="{00000000-0010-0000-0D00-000003000000}" name="符号" dataDxfId="30"/>
    <tableColumn id="4" xr3:uid="{00000000-0010-0000-0D00-000004000000}" name="地址" dataDxfId="29"/>
    <tableColumn id="5" xr3:uid="{00000000-0010-0000-0D00-000005000000}" name="注释" dataDxfId="28"/>
    <tableColumn id="6" xr3:uid="{00000000-0010-0000-0D00-000006000000}" name="停电保持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57" totalsRowShown="0" headerRowDxfId="26" dataDxfId="24" headerRowBorderDxfId="25" tableBorderDxfId="23">
  <autoFilter ref="A1:G257" xr:uid="{B3E6F695-5A5D-43F2-A4A9-C2D31569F3E9}"/>
  <sortState xmlns:xlrd2="http://schemas.microsoft.com/office/spreadsheetml/2017/richdata2" ref="A2:G257">
    <sortCondition ref="A1:A257"/>
  </sortState>
  <tableColumns count="7">
    <tableColumn id="1" xr3:uid="{00000000-0010-0000-0F00-000001000000}" name="存储区" dataDxfId="22"/>
    <tableColumn id="2" xr3:uid="{00000000-0010-0000-0F00-000002000000}" name="排序" dataDxfId="21"/>
    <tableColumn id="8" xr3:uid="{00000000-0010-0000-0F00-000008000000}" name="间隔校验" dataDxfId="20"/>
    <tableColumn id="7" xr3:uid="{00000000-0010-0000-0F00-000007000000}" name="符号长度" dataDxfId="19"/>
    <tableColumn id="3" xr3:uid="{00000000-0010-0000-0F00-000003000000}" name="符号" dataDxfId="18"/>
    <tableColumn id="4" xr3:uid="{00000000-0010-0000-0F00-000004000000}" name="地址" dataDxfId="17"/>
    <tableColumn id="5" xr3:uid="{00000000-0010-0000-0F00-000005000000}" name="注释" dataDxfId="1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DC73BD-6F51-4BCF-84E1-56C5A6AFF38F}" name="表3" displayName="表3" ref="A1:C40" totalsRowShown="0" headerRowDxfId="15" dataDxfId="14">
  <autoFilter ref="A1:C40" xr:uid="{B6DC73BD-6F51-4BCF-84E1-56C5A6AFF38F}"/>
  <sortState xmlns:xlrd2="http://schemas.microsoft.com/office/spreadsheetml/2017/richdata2" ref="A2:C40">
    <sortCondition ref="B1:B40"/>
  </sortState>
  <tableColumns count="3">
    <tableColumn id="1" xr3:uid="{C9EC5542-3176-4CF9-AACC-E9B37EB87292}" name="存储区" dataDxfId="13"/>
    <tableColumn id="2" xr3:uid="{B8E7CB01-86AB-4B99-82DC-6E4AF1B67DCA}" name="地址" dataDxfId="12"/>
    <tableColumn id="3" xr3:uid="{17BBCF5F-DF23-4029-9CA9-3FFC00CBE4FD}" name="差值" dataDxfId="11">
      <calculatedColumnFormula>B2-N(B1)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0" dataDxfId="8" headerRowBorderDxfId="9" tableBorderDxfId="7" totalsRowBorderDxfId="6">
  <autoFilter ref="A1:F21" xr:uid="{E517E8B6-ADC0-4F95-930E-5AF82CCFF0B4}"/>
  <tableColumns count="6">
    <tableColumn id="1" xr3:uid="{00000000-0010-0000-1100-000001000000}" name="现场设备" dataDxfId="5"/>
    <tableColumn id="2" xr3:uid="{00000000-0010-0000-1100-000002000000}" name="地址" dataDxfId="4"/>
    <tableColumn id="3" xr3:uid="{00000000-0010-0000-1100-000003000000}" name="映射" dataDxfId="3"/>
    <tableColumn id="4" xr3:uid="{00000000-0010-0000-1100-000004000000}" name="符号" dataDxfId="2"/>
    <tableColumn id="5" xr3:uid="{00000000-0010-0000-1100-000005000000}" name="类型" dataDxfId="1"/>
    <tableColumn id="6" xr3:uid="{00000000-0010-0000-1100-000006000000}" name="备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H4" sqref="H4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3" customFormat="1" ht="24.95" customHeight="1">
      <c r="A1" s="28" t="s">
        <v>897</v>
      </c>
      <c r="B1" s="28" t="s">
        <v>895</v>
      </c>
      <c r="C1" s="28" t="s">
        <v>896</v>
      </c>
      <c r="D1" s="28" t="s">
        <v>854</v>
      </c>
      <c r="E1" s="28" t="s">
        <v>855</v>
      </c>
      <c r="F1" s="29" t="s">
        <v>916</v>
      </c>
    </row>
    <row r="2" spans="1:6" ht="24.95" customHeight="1">
      <c r="A2" s="24" t="s">
        <v>892</v>
      </c>
      <c r="B2" s="24" t="s">
        <v>856</v>
      </c>
      <c r="C2" s="24" t="s">
        <v>857</v>
      </c>
      <c r="D2" s="24" t="s">
        <v>858</v>
      </c>
      <c r="E2" s="24" t="s">
        <v>859</v>
      </c>
      <c r="F2" s="24"/>
    </row>
    <row r="3" spans="1:6" ht="24.95" customHeight="1">
      <c r="A3" s="24" t="s">
        <v>891</v>
      </c>
      <c r="B3" s="24" t="s">
        <v>860</v>
      </c>
      <c r="C3" s="24" t="s">
        <v>861</v>
      </c>
      <c r="D3" s="24" t="s">
        <v>862</v>
      </c>
      <c r="E3" s="24" t="s">
        <v>863</v>
      </c>
      <c r="F3" s="24"/>
    </row>
    <row r="4" spans="1:6" ht="24.95" customHeight="1">
      <c r="A4" s="24" t="s">
        <v>892</v>
      </c>
      <c r="B4" s="24" t="s">
        <v>1534</v>
      </c>
      <c r="C4" s="24" t="s">
        <v>1533</v>
      </c>
      <c r="D4" s="24"/>
      <c r="E4" s="24"/>
      <c r="F4" s="24"/>
    </row>
    <row r="5" spans="1:6" ht="24.95" customHeight="1">
      <c r="A5" s="24" t="s">
        <v>891</v>
      </c>
      <c r="B5" s="24" t="s">
        <v>864</v>
      </c>
      <c r="C5" s="24" t="s">
        <v>865</v>
      </c>
      <c r="D5" s="24" t="s">
        <v>866</v>
      </c>
      <c r="E5" s="24" t="s">
        <v>867</v>
      </c>
      <c r="F5" s="24"/>
    </row>
    <row r="6" spans="1:6" ht="24.95" customHeight="1">
      <c r="A6" s="24" t="s">
        <v>891</v>
      </c>
      <c r="B6" s="24" t="s">
        <v>868</v>
      </c>
      <c r="C6" s="24" t="s">
        <v>869</v>
      </c>
      <c r="D6" s="25"/>
      <c r="E6" s="24" t="s">
        <v>870</v>
      </c>
      <c r="F6" s="24"/>
    </row>
    <row r="7" spans="1:6" ht="24.95" customHeight="1">
      <c r="A7" s="24" t="s">
        <v>891</v>
      </c>
      <c r="B7" s="24" t="s">
        <v>871</v>
      </c>
      <c r="C7" s="24" t="s">
        <v>872</v>
      </c>
      <c r="D7" s="24" t="s">
        <v>873</v>
      </c>
      <c r="E7" s="24" t="s">
        <v>874</v>
      </c>
      <c r="F7" s="24"/>
    </row>
    <row r="8" spans="1:6" ht="24.95" customHeight="1">
      <c r="A8" s="24" t="s">
        <v>891</v>
      </c>
      <c r="B8" s="24" t="s">
        <v>875</v>
      </c>
      <c r="C8" s="24" t="s">
        <v>876</v>
      </c>
      <c r="D8" s="26"/>
      <c r="E8" s="32" t="s">
        <v>920</v>
      </c>
      <c r="F8" s="24"/>
    </row>
    <row r="9" spans="1:6" ht="24.95" customHeight="1">
      <c r="A9" s="24" t="s">
        <v>891</v>
      </c>
      <c r="B9" s="24" t="s">
        <v>928</v>
      </c>
      <c r="C9" s="24" t="s">
        <v>929</v>
      </c>
      <c r="D9" s="24"/>
      <c r="E9" s="24"/>
      <c r="F9" s="24"/>
    </row>
    <row r="10" spans="1:6" ht="24.95" customHeight="1">
      <c r="A10" s="24"/>
      <c r="B10" s="24"/>
      <c r="C10" s="24"/>
      <c r="D10" s="24"/>
      <c r="E10" s="24"/>
      <c r="F10" s="24"/>
    </row>
    <row r="11" spans="1:6" ht="24.95" customHeight="1">
      <c r="A11" s="24" t="s">
        <v>894</v>
      </c>
      <c r="B11" s="24" t="s">
        <v>877</v>
      </c>
      <c r="C11" s="24" t="s">
        <v>901</v>
      </c>
      <c r="D11" s="24"/>
      <c r="E11" s="30" t="s">
        <v>921</v>
      </c>
      <c r="F11" s="24"/>
    </row>
    <row r="12" spans="1:6" ht="24.95" customHeight="1">
      <c r="A12" s="24" t="s">
        <v>893</v>
      </c>
      <c r="B12" s="24" t="s">
        <v>904</v>
      </c>
      <c r="C12" s="24" t="s">
        <v>878</v>
      </c>
      <c r="D12" s="24"/>
      <c r="E12" s="24" t="s">
        <v>829</v>
      </c>
      <c r="F12" s="24"/>
    </row>
    <row r="13" spans="1:6" ht="24.95" customHeight="1">
      <c r="A13" s="24" t="s">
        <v>893</v>
      </c>
      <c r="B13" s="24" t="s">
        <v>903</v>
      </c>
      <c r="C13" s="24" t="s">
        <v>902</v>
      </c>
      <c r="D13" s="24"/>
      <c r="E13" s="24"/>
      <c r="F13" s="24"/>
    </row>
    <row r="14" spans="1:6" ht="24.95" customHeight="1">
      <c r="A14" s="24" t="s">
        <v>906</v>
      </c>
      <c r="B14" s="31" t="s">
        <v>905</v>
      </c>
      <c r="C14" s="24" t="s">
        <v>911</v>
      </c>
      <c r="D14" s="24"/>
      <c r="E14" s="24" t="s">
        <v>908</v>
      </c>
      <c r="F14" s="24" t="s">
        <v>919</v>
      </c>
    </row>
    <row r="15" spans="1:6" ht="24.95" customHeight="1">
      <c r="A15" s="24" t="s">
        <v>906</v>
      </c>
      <c r="B15" s="24" t="s">
        <v>912</v>
      </c>
      <c r="C15" s="24" t="s">
        <v>913</v>
      </c>
      <c r="D15" s="24"/>
      <c r="E15" s="24" t="s">
        <v>909</v>
      </c>
      <c r="F15" s="24" t="s">
        <v>918</v>
      </c>
    </row>
    <row r="16" spans="1:6" ht="24.95" customHeight="1">
      <c r="A16" s="24" t="s">
        <v>906</v>
      </c>
      <c r="B16" s="24" t="s">
        <v>914</v>
      </c>
      <c r="C16" s="24" t="s">
        <v>915</v>
      </c>
      <c r="D16" s="24"/>
      <c r="E16" s="24" t="s">
        <v>910</v>
      </c>
      <c r="F16" s="24" t="s">
        <v>917</v>
      </c>
    </row>
    <row r="17" spans="1:6" ht="24.95" customHeight="1">
      <c r="A17" s="24"/>
      <c r="B17" s="24" t="s">
        <v>880</v>
      </c>
      <c r="C17" s="24" t="s">
        <v>879</v>
      </c>
      <c r="D17" s="24"/>
      <c r="E17" s="24" t="s">
        <v>881</v>
      </c>
      <c r="F17" s="24"/>
    </row>
    <row r="18" spans="1:6" ht="24.95" customHeight="1">
      <c r="A18" s="24"/>
      <c r="B18" s="24" t="s">
        <v>883</v>
      </c>
      <c r="C18" s="24" t="s">
        <v>882</v>
      </c>
      <c r="D18" s="24"/>
      <c r="E18" s="24" t="s">
        <v>884</v>
      </c>
      <c r="F18" s="24"/>
    </row>
    <row r="19" spans="1:6" ht="24.95" customHeight="1">
      <c r="A19" s="24"/>
      <c r="B19" s="24" t="s">
        <v>886</v>
      </c>
      <c r="C19" s="24" t="s">
        <v>885</v>
      </c>
      <c r="D19" s="24"/>
      <c r="E19" s="24" t="s">
        <v>887</v>
      </c>
      <c r="F19" s="24"/>
    </row>
    <row r="20" spans="1:6" ht="24.95" customHeight="1">
      <c r="A20" s="27"/>
      <c r="B20" s="27" t="s">
        <v>889</v>
      </c>
      <c r="C20" s="27" t="s">
        <v>888</v>
      </c>
      <c r="D20" s="27"/>
      <c r="E20" s="27" t="s">
        <v>890</v>
      </c>
      <c r="F20" s="27"/>
    </row>
    <row r="21" spans="1:6" ht="24.95" customHeight="1">
      <c r="A21" s="27"/>
      <c r="B21" s="27" t="s">
        <v>924</v>
      </c>
      <c r="C21" s="27" t="s">
        <v>925</v>
      </c>
      <c r="D21" s="27"/>
      <c r="E21" s="27" t="s">
        <v>926</v>
      </c>
      <c r="F21" s="2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761D-8897-4103-9A07-B5EE77259803}">
  <dimension ref="A1:E19"/>
  <sheetViews>
    <sheetView topLeftCell="A7" zoomScaleNormal="100" workbookViewId="0">
      <selection activeCell="G3" sqref="G3"/>
    </sheetView>
  </sheetViews>
  <sheetFormatPr defaultRowHeight="24.95" customHeight="1"/>
  <cols>
    <col min="1" max="1" width="9" style="2" customWidth="1"/>
    <col min="2" max="2" width="15.625" style="42" customWidth="1"/>
    <col min="3" max="3" width="30.625" style="42" customWidth="1"/>
    <col min="4" max="4" width="20.625" style="42" customWidth="1"/>
    <col min="5" max="5" width="11.25" style="2" customWidth="1"/>
    <col min="6" max="16384" width="9" style="2"/>
  </cols>
  <sheetData>
    <row r="1" spans="1:5" s="80" customFormat="1" ht="30" customHeight="1">
      <c r="A1" s="80" t="s">
        <v>1766</v>
      </c>
      <c r="B1" s="85" t="s">
        <v>1767</v>
      </c>
      <c r="C1" s="85" t="s">
        <v>1713</v>
      </c>
      <c r="D1" s="85" t="s">
        <v>1714</v>
      </c>
      <c r="E1" s="80" t="s">
        <v>1715</v>
      </c>
    </row>
    <row r="2" spans="1:5" ht="28.5">
      <c r="A2" s="78" t="s">
        <v>1765</v>
      </c>
      <c r="B2" s="86" t="s">
        <v>1751</v>
      </c>
      <c r="C2" s="86" t="s">
        <v>1752</v>
      </c>
      <c r="D2" s="26" t="s">
        <v>678</v>
      </c>
      <c r="E2" s="1" t="s">
        <v>1716</v>
      </c>
    </row>
    <row r="3" spans="1:5" ht="42.75">
      <c r="A3" s="82" t="s">
        <v>1717</v>
      </c>
      <c r="B3" s="86" t="s">
        <v>1751</v>
      </c>
      <c r="C3" s="86" t="s">
        <v>1755</v>
      </c>
      <c r="D3" s="87" t="s">
        <v>1718</v>
      </c>
      <c r="E3" s="82" t="s">
        <v>1716</v>
      </c>
    </row>
    <row r="4" spans="1:5" ht="42.75">
      <c r="A4" s="81" t="s">
        <v>1765</v>
      </c>
      <c r="B4" s="86" t="s">
        <v>1754</v>
      </c>
      <c r="C4" s="86" t="s">
        <v>1753</v>
      </c>
      <c r="D4" s="87" t="s">
        <v>1719</v>
      </c>
      <c r="E4" s="82" t="s">
        <v>1716</v>
      </c>
    </row>
    <row r="5" spans="1:5" ht="57">
      <c r="A5" s="82" t="s">
        <v>1717</v>
      </c>
      <c r="B5" s="87" t="s">
        <v>1754</v>
      </c>
      <c r="C5" s="86" t="s">
        <v>1756</v>
      </c>
      <c r="D5" s="86" t="s">
        <v>1757</v>
      </c>
      <c r="E5" s="82" t="s">
        <v>1716</v>
      </c>
    </row>
    <row r="6" spans="1:5" ht="28.5">
      <c r="A6" s="81" t="s">
        <v>1765</v>
      </c>
      <c r="B6" s="86" t="s">
        <v>1758</v>
      </c>
      <c r="C6" s="86" t="s">
        <v>1759</v>
      </c>
      <c r="D6" s="87" t="s">
        <v>1720</v>
      </c>
      <c r="E6" s="82" t="s">
        <v>1716</v>
      </c>
    </row>
    <row r="7" spans="1:5" ht="42.75">
      <c r="A7" s="81" t="s">
        <v>1765</v>
      </c>
      <c r="B7" s="87" t="s">
        <v>1721</v>
      </c>
      <c r="C7" s="86" t="s">
        <v>1760</v>
      </c>
      <c r="D7" s="87" t="s">
        <v>1722</v>
      </c>
      <c r="E7" s="82" t="s">
        <v>1716</v>
      </c>
    </row>
    <row r="8" spans="1:5" ht="42.75">
      <c r="A8" s="83" t="s">
        <v>1765</v>
      </c>
      <c r="B8" s="87" t="s">
        <v>1723</v>
      </c>
      <c r="C8" s="86" t="s">
        <v>1761</v>
      </c>
      <c r="D8" s="87" t="s">
        <v>1724</v>
      </c>
      <c r="E8" s="82" t="s">
        <v>1716</v>
      </c>
    </row>
    <row r="9" spans="1:5" ht="28.5">
      <c r="A9" s="83" t="s">
        <v>1765</v>
      </c>
      <c r="B9" s="87" t="s">
        <v>216</v>
      </c>
      <c r="C9" s="87" t="s">
        <v>1725</v>
      </c>
      <c r="D9" s="87" t="s">
        <v>1726</v>
      </c>
      <c r="E9" s="82" t="s">
        <v>1716</v>
      </c>
    </row>
    <row r="10" spans="1:5" ht="42.75">
      <c r="A10" s="83" t="s">
        <v>1764</v>
      </c>
      <c r="B10" s="87" t="s">
        <v>220</v>
      </c>
      <c r="C10" s="87" t="s">
        <v>1727</v>
      </c>
      <c r="D10" s="87" t="s">
        <v>1728</v>
      </c>
      <c r="E10" s="82" t="s">
        <v>1716</v>
      </c>
    </row>
    <row r="11" spans="1:5" ht="28.5">
      <c r="A11" s="83" t="s">
        <v>1764</v>
      </c>
      <c r="B11" s="87" t="s">
        <v>1729</v>
      </c>
      <c r="C11" s="87" t="s">
        <v>1730</v>
      </c>
      <c r="D11" s="87" t="s">
        <v>1731</v>
      </c>
      <c r="E11" s="82" t="s">
        <v>1716</v>
      </c>
    </row>
    <row r="12" spans="1:5" ht="24.95" customHeight="1">
      <c r="A12" s="83" t="s">
        <v>1764</v>
      </c>
      <c r="B12" s="87" t="s">
        <v>1732</v>
      </c>
      <c r="C12" s="87" t="s">
        <v>1733</v>
      </c>
      <c r="D12" s="87" t="s">
        <v>1734</v>
      </c>
      <c r="E12" s="82" t="s">
        <v>1716</v>
      </c>
    </row>
    <row r="13" spans="1:5" ht="28.5">
      <c r="A13" s="83" t="s">
        <v>1764</v>
      </c>
      <c r="B13" s="87" t="s">
        <v>1735</v>
      </c>
      <c r="C13" s="87" t="s">
        <v>1736</v>
      </c>
      <c r="D13" s="87" t="s">
        <v>1737</v>
      </c>
      <c r="E13" s="82" t="s">
        <v>1716</v>
      </c>
    </row>
    <row r="14" spans="1:5" ht="24.95" customHeight="1">
      <c r="A14" s="83" t="s">
        <v>1764</v>
      </c>
      <c r="B14" s="87" t="s">
        <v>1738</v>
      </c>
      <c r="C14" s="87" t="s">
        <v>1739</v>
      </c>
      <c r="D14" s="87" t="s">
        <v>1740</v>
      </c>
      <c r="E14" s="82" t="s">
        <v>1716</v>
      </c>
    </row>
    <row r="15" spans="1:5" ht="28.5">
      <c r="A15" s="83" t="s">
        <v>1764</v>
      </c>
      <c r="B15" s="87" t="s">
        <v>1741</v>
      </c>
      <c r="C15" s="87" t="s">
        <v>1742</v>
      </c>
      <c r="D15" s="87" t="s">
        <v>1743</v>
      </c>
      <c r="E15" s="82" t="s">
        <v>1716</v>
      </c>
    </row>
    <row r="16" spans="1:5" ht="28.5">
      <c r="A16" s="83" t="s">
        <v>1764</v>
      </c>
      <c r="B16" s="87" t="s">
        <v>1744</v>
      </c>
      <c r="C16" s="87" t="s">
        <v>1745</v>
      </c>
      <c r="D16" s="87" t="s">
        <v>1746</v>
      </c>
      <c r="E16" s="82" t="s">
        <v>1716</v>
      </c>
    </row>
    <row r="17" spans="1:5" ht="85.5">
      <c r="A17" s="83" t="s">
        <v>1764</v>
      </c>
      <c r="B17" s="87" t="s">
        <v>1747</v>
      </c>
      <c r="C17" s="86" t="s">
        <v>1762</v>
      </c>
      <c r="D17" s="87" t="s">
        <v>1748</v>
      </c>
      <c r="E17" s="82" t="s">
        <v>1716</v>
      </c>
    </row>
    <row r="18" spans="1:5" ht="28.5">
      <c r="A18" s="83" t="s">
        <v>1764</v>
      </c>
      <c r="B18" s="87" t="s">
        <v>1749</v>
      </c>
      <c r="C18" s="86" t="s">
        <v>1763</v>
      </c>
      <c r="D18" s="87" t="s">
        <v>1750</v>
      </c>
      <c r="E18" s="82" t="s">
        <v>1716</v>
      </c>
    </row>
    <row r="19" spans="1:5" ht="24.95" customHeight="1">
      <c r="A19" s="84"/>
      <c r="B19" s="88"/>
      <c r="C19" s="88"/>
      <c r="D19" s="88"/>
      <c r="E19" s="84"/>
    </row>
  </sheetData>
  <sortState xmlns:xlrd2="http://schemas.microsoft.com/office/spreadsheetml/2017/richdata2" ref="A2:E2">
    <sortCondition ref="A1:A2"/>
  </sortState>
  <phoneticPr fontId="32" type="noConversion"/>
  <pageMargins left="0.70866141732283472" right="0.70866141732283472" top="0.74803149606299213" bottom="0.74803149606299213" header="0.31496062992125984" footer="0.31496062992125984"/>
  <pageSetup paperSize="9" scale="94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2" customWidth="1"/>
    <col min="2" max="2" width="10" style="2" bestFit="1" customWidth="1"/>
    <col min="3" max="3" width="25" style="2" bestFit="1" customWidth="1"/>
    <col min="4" max="4" width="11" style="2" bestFit="1" customWidth="1"/>
    <col min="5" max="5" width="52.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8</v>
      </c>
      <c r="B2" s="1">
        <f t="shared" ref="B2:B61" si="0">VALUE(RIGHT(D2,LEN(D2)-LEN(A2)))</f>
        <v>0</v>
      </c>
      <c r="C2" s="6" t="s">
        <v>719</v>
      </c>
      <c r="D2" s="7" t="s">
        <v>720</v>
      </c>
      <c r="E2" s="1" t="s">
        <v>721</v>
      </c>
      <c r="F2" s="1"/>
    </row>
    <row r="3" spans="1:6" ht="24.95" customHeight="1">
      <c r="A3" s="21" t="s">
        <v>850</v>
      </c>
      <c r="B3" s="1">
        <f t="shared" si="0"/>
        <v>1</v>
      </c>
      <c r="C3" s="1" t="s">
        <v>722</v>
      </c>
      <c r="D3" s="1" t="s">
        <v>723</v>
      </c>
      <c r="E3" s="1" t="s">
        <v>724</v>
      </c>
      <c r="F3" s="16"/>
    </row>
    <row r="4" spans="1:6" ht="24.95" customHeight="1">
      <c r="A4" s="21" t="s">
        <v>850</v>
      </c>
      <c r="B4" s="1">
        <f t="shared" si="0"/>
        <v>2</v>
      </c>
      <c r="C4" s="1" t="s">
        <v>725</v>
      </c>
      <c r="D4" s="7" t="s">
        <v>726</v>
      </c>
      <c r="E4" s="1" t="s">
        <v>727</v>
      </c>
      <c r="F4" s="16"/>
    </row>
    <row r="5" spans="1:6" ht="24.95" customHeight="1">
      <c r="A5" s="21" t="s">
        <v>850</v>
      </c>
      <c r="B5" s="1">
        <f t="shared" si="0"/>
        <v>3</v>
      </c>
      <c r="C5" s="1" t="s">
        <v>728</v>
      </c>
      <c r="D5" s="1" t="s">
        <v>729</v>
      </c>
      <c r="E5" s="1" t="s">
        <v>730</v>
      </c>
      <c r="F5" s="16"/>
    </row>
    <row r="6" spans="1:6" ht="24.95" customHeight="1">
      <c r="A6" s="21" t="s">
        <v>850</v>
      </c>
      <c r="B6" s="1">
        <f t="shared" si="0"/>
        <v>4</v>
      </c>
      <c r="C6" s="1" t="s">
        <v>731</v>
      </c>
      <c r="D6" s="7" t="s">
        <v>732</v>
      </c>
      <c r="E6" s="1" t="s">
        <v>733</v>
      </c>
      <c r="F6" s="16"/>
    </row>
    <row r="7" spans="1:6" ht="24.95" customHeight="1">
      <c r="A7" s="21" t="s">
        <v>850</v>
      </c>
      <c r="B7" s="1">
        <f t="shared" si="0"/>
        <v>5</v>
      </c>
      <c r="C7" s="1" t="s">
        <v>734</v>
      </c>
      <c r="D7" s="1" t="s">
        <v>735</v>
      </c>
      <c r="E7" s="1" t="s">
        <v>736</v>
      </c>
      <c r="F7" s="16"/>
    </row>
    <row r="8" spans="1:6" ht="24.95" customHeight="1">
      <c r="A8" s="21" t="s">
        <v>850</v>
      </c>
      <c r="B8" s="1">
        <f t="shared" si="0"/>
        <v>100</v>
      </c>
      <c r="C8" s="6" t="s">
        <v>737</v>
      </c>
      <c r="D8" s="1" t="s">
        <v>738</v>
      </c>
      <c r="E8" s="1" t="s">
        <v>739</v>
      </c>
      <c r="F8" s="16"/>
    </row>
    <row r="9" spans="1:6" ht="24.95" customHeight="1">
      <c r="A9" s="21" t="s">
        <v>850</v>
      </c>
      <c r="B9" s="1">
        <f t="shared" si="0"/>
        <v>101</v>
      </c>
      <c r="C9" s="5" t="s">
        <v>740</v>
      </c>
      <c r="D9" s="1" t="s">
        <v>741</v>
      </c>
      <c r="E9" s="1" t="s">
        <v>742</v>
      </c>
      <c r="F9" s="16"/>
    </row>
    <row r="10" spans="1:6" ht="24.95" customHeight="1">
      <c r="A10" s="21" t="s">
        <v>850</v>
      </c>
      <c r="B10" s="1">
        <f t="shared" si="0"/>
        <v>102</v>
      </c>
      <c r="C10" s="1" t="s">
        <v>743</v>
      </c>
      <c r="D10" s="1" t="s">
        <v>744</v>
      </c>
      <c r="E10" s="1" t="s">
        <v>745</v>
      </c>
      <c r="F10" s="16"/>
    </row>
    <row r="11" spans="1:6" ht="24.95" customHeight="1">
      <c r="A11" s="21" t="s">
        <v>851</v>
      </c>
      <c r="B11" s="1">
        <f t="shared" si="0"/>
        <v>0.1</v>
      </c>
      <c r="C11" s="1" t="s">
        <v>746</v>
      </c>
      <c r="D11" s="1" t="s">
        <v>33</v>
      </c>
      <c r="E11" s="1" t="s">
        <v>747</v>
      </c>
      <c r="F11" s="16"/>
    </row>
    <row r="12" spans="1:6" ht="24.95" customHeight="1">
      <c r="A12" s="21" t="s">
        <v>851</v>
      </c>
      <c r="B12" s="1">
        <f t="shared" si="0"/>
        <v>0.2</v>
      </c>
      <c r="C12" s="6" t="s">
        <v>748</v>
      </c>
      <c r="D12" s="1" t="s">
        <v>48</v>
      </c>
      <c r="E12" s="1" t="s">
        <v>749</v>
      </c>
      <c r="F12" s="16"/>
    </row>
    <row r="13" spans="1:6" ht="24.95" customHeight="1">
      <c r="A13" s="21" t="s">
        <v>851</v>
      </c>
      <c r="B13" s="1">
        <f t="shared" si="0"/>
        <v>2</v>
      </c>
      <c r="C13" s="6" t="s">
        <v>750</v>
      </c>
      <c r="D13" s="1" t="s">
        <v>751</v>
      </c>
      <c r="E13" s="1" t="s">
        <v>752</v>
      </c>
      <c r="F13" s="16"/>
    </row>
    <row r="14" spans="1:6" ht="24.95" customHeight="1">
      <c r="A14" s="21" t="s">
        <v>851</v>
      </c>
      <c r="B14" s="1">
        <f t="shared" si="0"/>
        <v>2.1</v>
      </c>
      <c r="C14" s="1" t="s">
        <v>753</v>
      </c>
      <c r="D14" s="1" t="s">
        <v>144</v>
      </c>
      <c r="E14" s="1" t="s">
        <v>754</v>
      </c>
      <c r="F14" s="16"/>
    </row>
    <row r="15" spans="1:6" ht="24.95" customHeight="1">
      <c r="A15" s="21" t="s">
        <v>851</v>
      </c>
      <c r="B15" s="1">
        <f t="shared" si="0"/>
        <v>2.2000000000000002</v>
      </c>
      <c r="C15" s="1" t="s">
        <v>755</v>
      </c>
      <c r="D15" s="1" t="s">
        <v>148</v>
      </c>
      <c r="E15" s="1" t="s">
        <v>756</v>
      </c>
      <c r="F15" s="16"/>
    </row>
    <row r="16" spans="1:6" ht="24.95" customHeight="1">
      <c r="A16" s="21" t="s">
        <v>851</v>
      </c>
      <c r="B16" s="1">
        <f t="shared" si="0"/>
        <v>3</v>
      </c>
      <c r="C16" s="1" t="s">
        <v>757</v>
      </c>
      <c r="D16" s="1" t="s">
        <v>758</v>
      </c>
      <c r="E16" s="1" t="s">
        <v>759</v>
      </c>
      <c r="F16" s="16"/>
    </row>
    <row r="17" spans="1:6" ht="24.95" customHeight="1">
      <c r="A17" s="21" t="s">
        <v>851</v>
      </c>
      <c r="B17" s="1">
        <f t="shared" si="0"/>
        <v>3.1</v>
      </c>
      <c r="C17" s="1" t="s">
        <v>760</v>
      </c>
      <c r="D17" s="1" t="s">
        <v>169</v>
      </c>
      <c r="E17" s="1" t="s">
        <v>761</v>
      </c>
      <c r="F17" s="16"/>
    </row>
    <row r="18" spans="1:6" ht="24.95" customHeight="1">
      <c r="A18" s="21" t="s">
        <v>851</v>
      </c>
      <c r="B18" s="1">
        <f t="shared" si="0"/>
        <v>3.2</v>
      </c>
      <c r="C18" s="1" t="s">
        <v>762</v>
      </c>
      <c r="D18" s="1" t="s">
        <v>174</v>
      </c>
      <c r="E18" s="1" t="s">
        <v>763</v>
      </c>
      <c r="F18" s="16"/>
    </row>
    <row r="19" spans="1:6" ht="24.95" customHeight="1">
      <c r="A19" s="21" t="s">
        <v>851</v>
      </c>
      <c r="B19" s="1">
        <f t="shared" si="0"/>
        <v>4</v>
      </c>
      <c r="C19" s="1" t="s">
        <v>764</v>
      </c>
      <c r="D19" s="1" t="s">
        <v>765</v>
      </c>
      <c r="E19" s="1" t="s">
        <v>766</v>
      </c>
      <c r="F19" s="16"/>
    </row>
    <row r="20" spans="1:6" ht="24.95" customHeight="1">
      <c r="A20" s="21" t="s">
        <v>852</v>
      </c>
      <c r="B20" s="1">
        <f t="shared" si="0"/>
        <v>20</v>
      </c>
      <c r="C20" s="1" t="s">
        <v>767</v>
      </c>
      <c r="D20" s="1" t="s">
        <v>18</v>
      </c>
      <c r="E20" s="1" t="s">
        <v>768</v>
      </c>
      <c r="F20" s="16"/>
    </row>
    <row r="21" spans="1:6" ht="24.95" customHeight="1">
      <c r="A21" s="21" t="s">
        <v>852</v>
      </c>
      <c r="B21" s="1">
        <f t="shared" si="0"/>
        <v>21</v>
      </c>
      <c r="C21" s="1" t="s">
        <v>769</v>
      </c>
      <c r="D21" s="1" t="s">
        <v>35</v>
      </c>
      <c r="E21" s="1" t="s">
        <v>770</v>
      </c>
      <c r="F21" s="16"/>
    </row>
    <row r="22" spans="1:6" ht="24.95" customHeight="1">
      <c r="A22" s="21" t="s">
        <v>852</v>
      </c>
      <c r="B22" s="1">
        <f t="shared" si="0"/>
        <v>22</v>
      </c>
      <c r="C22" s="1" t="s">
        <v>771</v>
      </c>
      <c r="D22" s="1" t="s">
        <v>50</v>
      </c>
      <c r="E22" s="1" t="s">
        <v>772</v>
      </c>
      <c r="F22" s="16"/>
    </row>
    <row r="23" spans="1:6" ht="24.95" customHeight="1">
      <c r="A23" s="21" t="s">
        <v>853</v>
      </c>
      <c r="B23" s="1">
        <f t="shared" si="0"/>
        <v>101</v>
      </c>
      <c r="C23" s="1" t="s">
        <v>773</v>
      </c>
      <c r="D23" s="1" t="s">
        <v>21</v>
      </c>
      <c r="E23" s="1" t="s">
        <v>774</v>
      </c>
      <c r="F23" s="16"/>
    </row>
    <row r="24" spans="1:6" ht="24.95" customHeight="1">
      <c r="A24" s="21" t="s">
        <v>853</v>
      </c>
      <c r="B24" s="1">
        <f t="shared" si="0"/>
        <v>102</v>
      </c>
      <c r="C24" s="1" t="s">
        <v>775</v>
      </c>
      <c r="D24" s="1" t="s">
        <v>40</v>
      </c>
      <c r="E24" s="1" t="s">
        <v>776</v>
      </c>
      <c r="F24" s="16"/>
    </row>
    <row r="25" spans="1:6" ht="24.95" customHeight="1">
      <c r="A25" s="21" t="s">
        <v>853</v>
      </c>
      <c r="B25" s="1">
        <f t="shared" si="0"/>
        <v>103</v>
      </c>
      <c r="C25" s="1" t="s">
        <v>777</v>
      </c>
      <c r="D25" s="1" t="s">
        <v>54</v>
      </c>
      <c r="E25" s="1"/>
      <c r="F25" s="16"/>
    </row>
    <row r="26" spans="1:6" ht="24.95" customHeight="1">
      <c r="A26" s="21" t="s">
        <v>853</v>
      </c>
      <c r="B26" s="1">
        <f t="shared" si="0"/>
        <v>104</v>
      </c>
      <c r="C26" s="1" t="s">
        <v>778</v>
      </c>
      <c r="D26" s="1" t="s">
        <v>64</v>
      </c>
      <c r="E26" s="1"/>
      <c r="F26" s="16"/>
    </row>
    <row r="27" spans="1:6" ht="24.95" customHeight="1">
      <c r="A27" s="21" t="s">
        <v>853</v>
      </c>
      <c r="B27" s="1">
        <f t="shared" si="0"/>
        <v>105</v>
      </c>
      <c r="C27" s="1" t="s">
        <v>779</v>
      </c>
      <c r="D27" s="1" t="s">
        <v>73</v>
      </c>
      <c r="E27" s="1" t="s">
        <v>780</v>
      </c>
      <c r="F27" s="16"/>
    </row>
    <row r="28" spans="1:6" ht="24.95" customHeight="1">
      <c r="A28" s="21" t="s">
        <v>853</v>
      </c>
      <c r="B28" s="1">
        <f t="shared" si="0"/>
        <v>106</v>
      </c>
      <c r="C28" s="1" t="s">
        <v>781</v>
      </c>
      <c r="D28" s="1" t="s">
        <v>84</v>
      </c>
      <c r="E28" s="1" t="s">
        <v>782</v>
      </c>
      <c r="F28" s="16"/>
    </row>
    <row r="29" spans="1:6" ht="24.95" customHeight="1">
      <c r="A29" s="21" t="s">
        <v>853</v>
      </c>
      <c r="B29" s="1">
        <f t="shared" si="0"/>
        <v>107</v>
      </c>
      <c r="C29" s="1" t="s">
        <v>783</v>
      </c>
      <c r="D29" s="1" t="s">
        <v>93</v>
      </c>
      <c r="E29" s="1" t="s">
        <v>784</v>
      </c>
      <c r="F29" s="16"/>
    </row>
    <row r="30" spans="1:6" ht="24.95" customHeight="1">
      <c r="A30" s="21" t="s">
        <v>853</v>
      </c>
      <c r="B30" s="1">
        <f t="shared" si="0"/>
        <v>110</v>
      </c>
      <c r="C30" s="1" t="s">
        <v>785</v>
      </c>
      <c r="D30" s="1" t="s">
        <v>114</v>
      </c>
      <c r="E30" s="1" t="s">
        <v>786</v>
      </c>
      <c r="F30" s="16"/>
    </row>
    <row r="31" spans="1:6" ht="24.95" customHeight="1">
      <c r="A31" s="21" t="s">
        <v>853</v>
      </c>
      <c r="B31" s="1">
        <f t="shared" si="0"/>
        <v>111</v>
      </c>
      <c r="C31" s="1" t="s">
        <v>787</v>
      </c>
      <c r="D31" s="1" t="s">
        <v>120</v>
      </c>
      <c r="E31" s="1" t="s">
        <v>788</v>
      </c>
      <c r="F31" s="16"/>
    </row>
    <row r="32" spans="1:6" ht="24.95" customHeight="1">
      <c r="A32" s="21" t="s">
        <v>853</v>
      </c>
      <c r="B32" s="1">
        <f t="shared" si="0"/>
        <v>112</v>
      </c>
      <c r="C32" s="1" t="s">
        <v>789</v>
      </c>
      <c r="D32" s="1" t="s">
        <v>124</v>
      </c>
      <c r="E32" s="1" t="s">
        <v>790</v>
      </c>
      <c r="F32" s="16"/>
    </row>
    <row r="33" spans="1:6" ht="24.95" customHeight="1">
      <c r="A33" s="21" t="s">
        <v>853</v>
      </c>
      <c r="B33" s="1">
        <f t="shared" si="0"/>
        <v>113</v>
      </c>
      <c r="C33" s="6" t="s">
        <v>791</v>
      </c>
      <c r="D33" s="1" t="s">
        <v>129</v>
      </c>
      <c r="E33" s="1" t="s">
        <v>792</v>
      </c>
      <c r="F33" s="16"/>
    </row>
    <row r="34" spans="1:6" ht="24.95" customHeight="1">
      <c r="A34" s="21" t="s">
        <v>853</v>
      </c>
      <c r="B34" s="1">
        <f t="shared" si="0"/>
        <v>114</v>
      </c>
      <c r="C34" s="1" t="s">
        <v>793</v>
      </c>
      <c r="D34" s="1" t="s">
        <v>133</v>
      </c>
      <c r="E34" s="1" t="s">
        <v>794</v>
      </c>
      <c r="F34" s="16"/>
    </row>
    <row r="35" spans="1:6" ht="24.95" customHeight="1">
      <c r="A35" s="21" t="s">
        <v>853</v>
      </c>
      <c r="B35" s="1">
        <f t="shared" si="0"/>
        <v>115</v>
      </c>
      <c r="C35" s="1" t="s">
        <v>795</v>
      </c>
      <c r="D35" s="1" t="s">
        <v>136</v>
      </c>
      <c r="E35" s="1" t="s">
        <v>796</v>
      </c>
      <c r="F35" s="1"/>
    </row>
    <row r="36" spans="1:6" ht="24.95" customHeight="1">
      <c r="A36" s="21" t="s">
        <v>853</v>
      </c>
      <c r="B36" s="1">
        <f t="shared" si="0"/>
        <v>116</v>
      </c>
      <c r="C36" s="1" t="s">
        <v>797</v>
      </c>
      <c r="D36" s="1" t="s">
        <v>139</v>
      </c>
      <c r="E36" s="1"/>
      <c r="F36" s="1"/>
    </row>
    <row r="37" spans="1:6" ht="24.95" customHeight="1">
      <c r="A37" s="21" t="s">
        <v>853</v>
      </c>
      <c r="B37" s="1">
        <f t="shared" si="0"/>
        <v>117</v>
      </c>
      <c r="C37" s="6" t="s">
        <v>798</v>
      </c>
      <c r="D37" s="7" t="s">
        <v>143</v>
      </c>
      <c r="E37" s="1" t="s">
        <v>799</v>
      </c>
      <c r="F37" s="1"/>
    </row>
    <row r="38" spans="1:6" ht="24.95" customHeight="1">
      <c r="A38" s="21" t="s">
        <v>853</v>
      </c>
      <c r="B38" s="1">
        <f t="shared" si="0"/>
        <v>118</v>
      </c>
      <c r="C38" s="1" t="s">
        <v>800</v>
      </c>
      <c r="D38" s="1" t="s">
        <v>147</v>
      </c>
      <c r="E38" s="1" t="s">
        <v>801</v>
      </c>
      <c r="F38" s="16"/>
    </row>
    <row r="39" spans="1:6" ht="24.95" customHeight="1">
      <c r="A39" s="21" t="s">
        <v>686</v>
      </c>
      <c r="B39" s="1">
        <f t="shared" si="0"/>
        <v>0</v>
      </c>
      <c r="C39" s="1" t="s">
        <v>802</v>
      </c>
      <c r="D39" s="7" t="s">
        <v>803</v>
      </c>
      <c r="E39" s="1"/>
      <c r="F39" s="16"/>
    </row>
    <row r="40" spans="1:6" ht="24.95" customHeight="1">
      <c r="A40" s="21" t="s">
        <v>686</v>
      </c>
      <c r="B40" s="1">
        <f t="shared" si="0"/>
        <v>0.1</v>
      </c>
      <c r="C40" s="1" t="s">
        <v>804</v>
      </c>
      <c r="D40" s="7" t="s">
        <v>557</v>
      </c>
      <c r="E40" s="1" t="s">
        <v>805</v>
      </c>
      <c r="F40" s="16"/>
    </row>
    <row r="41" spans="1:6" ht="24.95" customHeight="1">
      <c r="A41" s="21" t="s">
        <v>686</v>
      </c>
      <c r="B41" s="1">
        <f t="shared" si="0"/>
        <v>0.2</v>
      </c>
      <c r="C41" s="1" t="s">
        <v>806</v>
      </c>
      <c r="D41" s="1" t="s">
        <v>558</v>
      </c>
      <c r="E41" s="1" t="s">
        <v>807</v>
      </c>
      <c r="F41" s="16"/>
    </row>
    <row r="42" spans="1:6" ht="24.95" customHeight="1">
      <c r="A42" s="21" t="s">
        <v>686</v>
      </c>
      <c r="B42" s="1">
        <f t="shared" si="0"/>
        <v>0.3</v>
      </c>
      <c r="C42" s="8" t="s">
        <v>808</v>
      </c>
      <c r="D42" s="1" t="s">
        <v>559</v>
      </c>
      <c r="E42" s="1" t="s">
        <v>809</v>
      </c>
      <c r="F42" s="16"/>
    </row>
    <row r="43" spans="1:6" ht="24.95" customHeight="1">
      <c r="A43" s="21" t="s">
        <v>686</v>
      </c>
      <c r="B43" s="1">
        <f t="shared" si="0"/>
        <v>0.4</v>
      </c>
      <c r="C43" s="1" t="s">
        <v>810</v>
      </c>
      <c r="D43" s="1" t="s">
        <v>560</v>
      </c>
      <c r="E43" s="1"/>
      <c r="F43" s="16"/>
    </row>
    <row r="44" spans="1:6" ht="24.95" customHeight="1">
      <c r="A44" s="21" t="s">
        <v>686</v>
      </c>
      <c r="B44" s="1">
        <f t="shared" si="0"/>
        <v>0.5</v>
      </c>
      <c r="C44" s="1" t="s">
        <v>811</v>
      </c>
      <c r="D44" s="1" t="s">
        <v>561</v>
      </c>
      <c r="E44" s="1" t="s">
        <v>812</v>
      </c>
      <c r="F44" s="16"/>
    </row>
    <row r="45" spans="1:6" ht="24.95" customHeight="1">
      <c r="A45" s="21" t="s">
        <v>686</v>
      </c>
      <c r="B45" s="1">
        <f t="shared" si="0"/>
        <v>0.6</v>
      </c>
      <c r="C45" s="1" t="s">
        <v>813</v>
      </c>
      <c r="D45" s="1" t="s">
        <v>562</v>
      </c>
      <c r="E45" s="1" t="s">
        <v>814</v>
      </c>
      <c r="F45" s="16"/>
    </row>
    <row r="46" spans="1:6" ht="24.95" customHeight="1">
      <c r="A46" s="21" t="s">
        <v>686</v>
      </c>
      <c r="B46" s="1">
        <f t="shared" si="0"/>
        <v>0.7</v>
      </c>
      <c r="C46" s="1" t="s">
        <v>815</v>
      </c>
      <c r="D46" s="1" t="s">
        <v>563</v>
      </c>
      <c r="E46" s="1" t="s">
        <v>816</v>
      </c>
      <c r="F46" s="16"/>
    </row>
    <row r="47" spans="1:6" ht="24.95" customHeight="1">
      <c r="A47" s="21" t="s">
        <v>686</v>
      </c>
      <c r="B47" s="1">
        <f t="shared" si="0"/>
        <v>1</v>
      </c>
      <c r="C47" s="1" t="s">
        <v>817</v>
      </c>
      <c r="D47" s="1" t="s">
        <v>818</v>
      </c>
      <c r="E47" s="1" t="s">
        <v>819</v>
      </c>
      <c r="F47" s="16"/>
    </row>
    <row r="48" spans="1:6" ht="24.95" customHeight="1">
      <c r="A48" s="21" t="s">
        <v>686</v>
      </c>
      <c r="B48" s="1">
        <f t="shared" si="0"/>
        <v>1.1000000000000001</v>
      </c>
      <c r="C48" s="1" t="s">
        <v>820</v>
      </c>
      <c r="D48" s="1" t="s">
        <v>564</v>
      </c>
      <c r="E48" s="1" t="s">
        <v>821</v>
      </c>
      <c r="F48" s="16"/>
    </row>
    <row r="49" spans="1:6" ht="24.95" customHeight="1">
      <c r="A49" s="21" t="s">
        <v>686</v>
      </c>
      <c r="B49" s="1">
        <f t="shared" si="0"/>
        <v>2</v>
      </c>
      <c r="C49" s="1" t="s">
        <v>822</v>
      </c>
      <c r="D49" s="1" t="s">
        <v>823</v>
      </c>
      <c r="E49" s="1" t="s">
        <v>824</v>
      </c>
      <c r="F49" s="16"/>
    </row>
    <row r="50" spans="1:6" ht="24.95" customHeight="1">
      <c r="A50" s="21" t="s">
        <v>686</v>
      </c>
      <c r="B50" s="1">
        <f t="shared" si="0"/>
        <v>2.1</v>
      </c>
      <c r="C50" s="1" t="s">
        <v>825</v>
      </c>
      <c r="D50" s="1" t="s">
        <v>571</v>
      </c>
      <c r="E50" s="1" t="s">
        <v>826</v>
      </c>
      <c r="F50" s="16"/>
    </row>
    <row r="51" spans="1:6" ht="24.95" customHeight="1">
      <c r="A51" s="21" t="s">
        <v>686</v>
      </c>
      <c r="B51" s="1">
        <f t="shared" si="0"/>
        <v>2.2000000000000002</v>
      </c>
      <c r="C51" s="1" t="s">
        <v>827</v>
      </c>
      <c r="D51" s="1" t="s">
        <v>572</v>
      </c>
      <c r="E51" s="1" t="s">
        <v>828</v>
      </c>
      <c r="F51" s="16"/>
    </row>
    <row r="52" spans="1:6" ht="24.95" customHeight="1">
      <c r="A52" s="21" t="s">
        <v>686</v>
      </c>
      <c r="B52" s="1">
        <f t="shared" si="0"/>
        <v>2.2999999999999998</v>
      </c>
      <c r="C52" s="1" t="s">
        <v>829</v>
      </c>
      <c r="D52" s="1" t="s">
        <v>573</v>
      </c>
      <c r="E52" s="1" t="s">
        <v>830</v>
      </c>
      <c r="F52" s="16"/>
    </row>
    <row r="53" spans="1:6" ht="24.95" customHeight="1">
      <c r="A53" s="21" t="s">
        <v>686</v>
      </c>
      <c r="B53" s="1">
        <f t="shared" si="0"/>
        <v>2.4</v>
      </c>
      <c r="C53" s="1" t="s">
        <v>831</v>
      </c>
      <c r="D53" s="1" t="s">
        <v>574</v>
      </c>
      <c r="E53" s="1" t="s">
        <v>832</v>
      </c>
      <c r="F53" s="16"/>
    </row>
    <row r="54" spans="1:6" ht="24.95" customHeight="1">
      <c r="A54" s="21" t="s">
        <v>686</v>
      </c>
      <c r="B54" s="1">
        <f t="shared" si="0"/>
        <v>2.5</v>
      </c>
      <c r="C54" s="1" t="s">
        <v>833</v>
      </c>
      <c r="D54" s="1" t="s">
        <v>575</v>
      </c>
      <c r="E54" s="1" t="s">
        <v>834</v>
      </c>
      <c r="F54" s="16"/>
    </row>
    <row r="55" spans="1:6" ht="24.95" customHeight="1">
      <c r="A55" s="21" t="s">
        <v>686</v>
      </c>
      <c r="B55" s="1">
        <f t="shared" si="0"/>
        <v>2.6</v>
      </c>
      <c r="C55" s="1" t="s">
        <v>835</v>
      </c>
      <c r="D55" s="1" t="s">
        <v>576</v>
      </c>
      <c r="E55" s="1" t="s">
        <v>87</v>
      </c>
      <c r="F55" s="16"/>
    </row>
    <row r="56" spans="1:6" ht="24.95" customHeight="1">
      <c r="A56" s="21" t="s">
        <v>686</v>
      </c>
      <c r="B56" s="1">
        <f t="shared" si="0"/>
        <v>2.7</v>
      </c>
      <c r="C56" s="1" t="s">
        <v>836</v>
      </c>
      <c r="D56" s="1" t="s">
        <v>577</v>
      </c>
      <c r="E56" s="1" t="s">
        <v>837</v>
      </c>
      <c r="F56" s="16"/>
    </row>
    <row r="57" spans="1:6" ht="24.95" customHeight="1">
      <c r="A57" s="21" t="s">
        <v>686</v>
      </c>
      <c r="B57" s="1">
        <f t="shared" si="0"/>
        <v>3</v>
      </c>
      <c r="C57" s="1" t="s">
        <v>838</v>
      </c>
      <c r="D57" s="1" t="s">
        <v>839</v>
      </c>
      <c r="E57" s="1" t="s">
        <v>840</v>
      </c>
      <c r="F57" s="1"/>
    </row>
    <row r="58" spans="1:6" ht="24.95" customHeight="1">
      <c r="A58" s="21" t="s">
        <v>686</v>
      </c>
      <c r="B58" s="1">
        <f t="shared" si="0"/>
        <v>3.1</v>
      </c>
      <c r="C58" s="6" t="s">
        <v>841</v>
      </c>
      <c r="D58" s="7" t="s">
        <v>578</v>
      </c>
      <c r="E58" s="1" t="s">
        <v>842</v>
      </c>
      <c r="F58" s="1"/>
    </row>
    <row r="59" spans="1:6" ht="24.95" customHeight="1">
      <c r="A59" s="21" t="s">
        <v>686</v>
      </c>
      <c r="B59" s="1">
        <f t="shared" si="0"/>
        <v>20</v>
      </c>
      <c r="C59" s="8" t="s">
        <v>843</v>
      </c>
      <c r="D59" s="7" t="s">
        <v>844</v>
      </c>
      <c r="E59" s="1" t="s">
        <v>845</v>
      </c>
      <c r="F59" s="16"/>
    </row>
    <row r="60" spans="1:6" ht="24.95" customHeight="1">
      <c r="A60" s="21" t="s">
        <v>686</v>
      </c>
      <c r="B60" s="1">
        <f t="shared" si="0"/>
        <v>20.100000000000001</v>
      </c>
      <c r="C60" s="1" t="s">
        <v>846</v>
      </c>
      <c r="D60" s="7" t="s">
        <v>579</v>
      </c>
      <c r="E60" s="1" t="s">
        <v>847</v>
      </c>
      <c r="F60" s="16"/>
    </row>
    <row r="61" spans="1:6" ht="24.95" customHeight="1">
      <c r="A61" s="21" t="s">
        <v>686</v>
      </c>
      <c r="B61" s="1">
        <f t="shared" si="0"/>
        <v>20.2</v>
      </c>
      <c r="C61" s="8" t="s">
        <v>848</v>
      </c>
      <c r="D61" s="1" t="s">
        <v>580</v>
      </c>
      <c r="E61" s="1" t="s">
        <v>849</v>
      </c>
      <c r="F61" s="16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abSelected="1" zoomScaleSheetLayoutView="100" workbookViewId="0">
      <selection activeCell="F15" sqref="F15"/>
    </sheetView>
  </sheetViews>
  <sheetFormatPr defaultColWidth="8.75" defaultRowHeight="24.95" customHeight="1"/>
  <cols>
    <col min="1" max="1" width="8.75" style="2"/>
    <col min="2" max="2" width="25.75" style="2" bestFit="1" customWidth="1"/>
    <col min="3" max="3" width="21.625" style="2" customWidth="1"/>
    <col min="4" max="4" width="22.75" style="2" customWidth="1"/>
    <col min="5" max="5" width="21.625" style="2" customWidth="1"/>
    <col min="6" max="6" width="17.75" bestFit="1" customWidth="1"/>
    <col min="7" max="7" width="37.625" style="67" customWidth="1"/>
    <col min="8" max="8" width="10.5" style="2" bestFit="1" customWidth="1"/>
    <col min="9" max="9" width="17.25" style="2" bestFit="1" customWidth="1"/>
    <col min="10" max="16384" width="8.75" style="2"/>
  </cols>
  <sheetData>
    <row r="1" spans="2:7" ht="24.95" customHeight="1">
      <c r="B1" s="62" t="s">
        <v>1581</v>
      </c>
      <c r="C1" s="62" t="s">
        <v>536</v>
      </c>
      <c r="D1" s="62" t="s">
        <v>1583</v>
      </c>
      <c r="E1" s="62" t="s">
        <v>523</v>
      </c>
      <c r="F1" s="64" t="s">
        <v>1582</v>
      </c>
      <c r="G1" s="62" t="s">
        <v>1614</v>
      </c>
    </row>
    <row r="2" spans="2:7" ht="24.95" customHeight="1">
      <c r="B2" s="63" t="s">
        <v>326</v>
      </c>
      <c r="C2" s="1" t="s">
        <v>1594</v>
      </c>
      <c r="D2" s="63" t="s">
        <v>1584</v>
      </c>
      <c r="E2" s="1" t="s">
        <v>1595</v>
      </c>
      <c r="F2" s="61">
        <v>40061.08</v>
      </c>
      <c r="G2" s="63" t="s">
        <v>1632</v>
      </c>
    </row>
    <row r="3" spans="2:7" ht="24.95" customHeight="1">
      <c r="B3" s="63" t="s">
        <v>330</v>
      </c>
      <c r="C3" s="1" t="s">
        <v>1596</v>
      </c>
      <c r="D3" s="63" t="s">
        <v>1585</v>
      </c>
      <c r="E3" s="1" t="s">
        <v>1111</v>
      </c>
      <c r="F3" s="61">
        <v>40061.089999999997</v>
      </c>
      <c r="G3" s="63" t="s">
        <v>1632</v>
      </c>
    </row>
    <row r="4" spans="2:7" ht="24.95" customHeight="1">
      <c r="B4" s="63" t="s">
        <v>334</v>
      </c>
      <c r="C4" s="1" t="s">
        <v>1597</v>
      </c>
      <c r="D4" s="63" t="s">
        <v>1586</v>
      </c>
      <c r="E4" s="1" t="s">
        <v>1113</v>
      </c>
      <c r="F4" s="68">
        <v>40061.1</v>
      </c>
      <c r="G4" s="63" t="s">
        <v>1632</v>
      </c>
    </row>
    <row r="5" spans="2:7" ht="24.95" customHeight="1">
      <c r="B5" s="63" t="s">
        <v>338</v>
      </c>
      <c r="C5" s="1" t="s">
        <v>1598</v>
      </c>
      <c r="D5" s="63" t="s">
        <v>1587</v>
      </c>
      <c r="E5" s="1" t="s">
        <v>1115</v>
      </c>
      <c r="F5" s="61">
        <v>40061.109999999986</v>
      </c>
      <c r="G5" s="63" t="s">
        <v>1632</v>
      </c>
    </row>
    <row r="6" spans="2:7" ht="24.95" customHeight="1">
      <c r="B6" s="63" t="s">
        <v>342</v>
      </c>
      <c r="C6" s="1" t="s">
        <v>1599</v>
      </c>
      <c r="D6" s="63" t="s">
        <v>1588</v>
      </c>
      <c r="E6" s="63" t="s">
        <v>1601</v>
      </c>
      <c r="F6" s="61">
        <v>40061.119999999981</v>
      </c>
      <c r="G6" s="63" t="s">
        <v>1632</v>
      </c>
    </row>
    <row r="7" spans="2:7" ht="24.95" customHeight="1">
      <c r="B7" s="63" t="s">
        <v>345</v>
      </c>
      <c r="C7" s="1" t="s">
        <v>1118</v>
      </c>
      <c r="D7" s="63" t="s">
        <v>1589</v>
      </c>
      <c r="E7" s="63" t="s">
        <v>1602</v>
      </c>
      <c r="F7" s="61">
        <v>40061.129999999976</v>
      </c>
      <c r="G7" s="63" t="s">
        <v>1633</v>
      </c>
    </row>
    <row r="8" spans="2:7" ht="24.95" customHeight="1">
      <c r="B8" s="63" t="s">
        <v>348</v>
      </c>
      <c r="C8" s="1" t="s">
        <v>1120</v>
      </c>
      <c r="D8" s="63" t="s">
        <v>1590</v>
      </c>
      <c r="E8" s="63" t="s">
        <v>1603</v>
      </c>
      <c r="F8" s="61">
        <v>40061.13999999997</v>
      </c>
      <c r="G8" s="63" t="s">
        <v>1633</v>
      </c>
    </row>
    <row r="9" spans="2:7" ht="24.95" customHeight="1">
      <c r="B9" s="63" t="s">
        <v>351</v>
      </c>
      <c r="C9" s="1" t="s">
        <v>1122</v>
      </c>
      <c r="D9" s="63" t="s">
        <v>1591</v>
      </c>
      <c r="E9" s="63" t="s">
        <v>1604</v>
      </c>
      <c r="F9" s="61">
        <v>40061.149999999965</v>
      </c>
      <c r="G9" s="63" t="s">
        <v>1633</v>
      </c>
    </row>
    <row r="10" spans="2:7" ht="24.95" customHeight="1">
      <c r="B10" s="63" t="s">
        <v>354</v>
      </c>
      <c r="C10" s="1" t="s">
        <v>1124</v>
      </c>
      <c r="D10" s="63" t="s">
        <v>1592</v>
      </c>
      <c r="E10" s="63" t="s">
        <v>1605</v>
      </c>
      <c r="F10" s="66">
        <v>40061</v>
      </c>
      <c r="G10" s="63" t="s">
        <v>1633</v>
      </c>
    </row>
    <row r="11" spans="2:7" ht="24.95" customHeight="1">
      <c r="B11" s="63" t="s">
        <v>358</v>
      </c>
      <c r="C11" s="1" t="s">
        <v>1126</v>
      </c>
      <c r="D11" s="63" t="s">
        <v>1593</v>
      </c>
      <c r="E11" s="63" t="s">
        <v>1606</v>
      </c>
      <c r="F11" s="65">
        <v>40061.1</v>
      </c>
      <c r="G11" s="63" t="s">
        <v>1633</v>
      </c>
    </row>
    <row r="12" spans="2:7" ht="24.95" customHeight="1">
      <c r="B12" s="63" t="s">
        <v>213</v>
      </c>
      <c r="C12" s="63" t="s">
        <v>1624</v>
      </c>
      <c r="D12" s="63" t="s">
        <v>1616</v>
      </c>
      <c r="E12" s="63" t="s">
        <v>1608</v>
      </c>
      <c r="F12" s="65">
        <v>40071</v>
      </c>
      <c r="G12" s="63" t="s">
        <v>1632</v>
      </c>
    </row>
    <row r="13" spans="2:7" ht="24.95" customHeight="1">
      <c r="B13" s="63" t="s">
        <v>217</v>
      </c>
      <c r="C13" s="63" t="s">
        <v>1626</v>
      </c>
      <c r="D13" s="63" t="s">
        <v>1618</v>
      </c>
      <c r="E13" s="63" t="s">
        <v>1610</v>
      </c>
      <c r="F13" s="65">
        <v>40073</v>
      </c>
      <c r="G13" s="63" t="s">
        <v>1632</v>
      </c>
    </row>
    <row r="14" spans="2:7" ht="24.95" customHeight="1">
      <c r="B14" s="63" t="s">
        <v>225</v>
      </c>
      <c r="C14" s="63" t="s">
        <v>1627</v>
      </c>
      <c r="D14" s="63" t="s">
        <v>1620</v>
      </c>
      <c r="E14" s="63" t="s">
        <v>1612</v>
      </c>
      <c r="F14" s="65">
        <v>40077</v>
      </c>
      <c r="G14" s="63" t="s">
        <v>1632</v>
      </c>
    </row>
    <row r="15" spans="2:7" ht="24.95" customHeight="1">
      <c r="B15" s="63" t="s">
        <v>229</v>
      </c>
      <c r="C15" s="92" t="s">
        <v>1629</v>
      </c>
      <c r="D15" s="63" t="s">
        <v>1622</v>
      </c>
      <c r="E15" s="63" t="s">
        <v>1613</v>
      </c>
      <c r="F15" s="65">
        <v>40191</v>
      </c>
      <c r="G15" s="92" t="s">
        <v>1632</v>
      </c>
    </row>
    <row r="16" spans="2:7" ht="24.95" customHeight="1">
      <c r="B16" s="69"/>
      <c r="C16" s="63" t="s">
        <v>1600</v>
      </c>
      <c r="D16" s="69" t="str">
        <f>"VW"&amp;1500+2*(F16-40000-1)</f>
        <v>VW1898</v>
      </c>
      <c r="E16" s="69" t="s">
        <v>1611</v>
      </c>
      <c r="F16" s="70">
        <v>40200</v>
      </c>
      <c r="G16" s="69" t="s">
        <v>1631</v>
      </c>
    </row>
    <row r="17" spans="2:7" ht="24.95" customHeight="1">
      <c r="B17" s="69"/>
      <c r="C17" s="69" t="s">
        <v>1634</v>
      </c>
      <c r="D17" s="69" t="str">
        <f>"VW"&amp;1500+2*(F17-40000-1)</f>
        <v>VW1918</v>
      </c>
      <c r="E17" s="69" t="s">
        <v>1630</v>
      </c>
      <c r="F17" s="70">
        <v>40210</v>
      </c>
      <c r="G17" s="69" t="s">
        <v>1631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33" t="s">
        <v>930</v>
      </c>
      <c r="B1" s="34" t="s">
        <v>931</v>
      </c>
    </row>
    <row r="2" spans="1:2" ht="24.95" customHeight="1">
      <c r="A2" s="35" t="s">
        <v>932</v>
      </c>
      <c r="B2" s="36" t="s">
        <v>933</v>
      </c>
    </row>
    <row r="3" spans="1:2" ht="24.95" customHeight="1">
      <c r="A3" s="37" t="s">
        <v>934</v>
      </c>
      <c r="B3" s="38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33.8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531</v>
      </c>
      <c r="B2" s="1">
        <f t="shared" ref="B2:B33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</row>
    <row r="3" spans="1:6" ht="24.95" customHeight="1">
      <c r="A3" s="1" t="s">
        <v>8</v>
      </c>
      <c r="B3" s="1">
        <f t="shared" si="0"/>
        <v>0</v>
      </c>
      <c r="C3" s="6" t="s">
        <v>1035</v>
      </c>
      <c r="D3" s="7" t="s">
        <v>720</v>
      </c>
      <c r="E3" s="1" t="s">
        <v>721</v>
      </c>
      <c r="F3" s="1" t="s">
        <v>699</v>
      </c>
    </row>
    <row r="4" spans="1:6" ht="24.95" customHeight="1">
      <c r="A4" s="39" t="s">
        <v>1210</v>
      </c>
      <c r="B4" s="1">
        <f t="shared" si="0"/>
        <v>0</v>
      </c>
      <c r="C4" s="1" t="s">
        <v>802</v>
      </c>
      <c r="D4" s="7" t="s">
        <v>803</v>
      </c>
      <c r="E4" s="1" t="s">
        <v>802</v>
      </c>
      <c r="F4" s="16" t="s">
        <v>703</v>
      </c>
    </row>
    <row r="5" spans="1:6" ht="24.95" customHeight="1">
      <c r="A5" s="39" t="s">
        <v>1206</v>
      </c>
      <c r="B5" s="1">
        <f t="shared" si="0"/>
        <v>0.1</v>
      </c>
      <c r="C5" s="1" t="s">
        <v>746</v>
      </c>
      <c r="D5" s="1" t="s">
        <v>33</v>
      </c>
      <c r="E5" s="1" t="s">
        <v>747</v>
      </c>
      <c r="F5" s="16" t="s">
        <v>703</v>
      </c>
    </row>
    <row r="6" spans="1:6" ht="24.95" customHeight="1">
      <c r="A6" s="39" t="s">
        <v>1210</v>
      </c>
      <c r="B6" s="1">
        <f t="shared" si="0"/>
        <v>0.1</v>
      </c>
      <c r="C6" s="1" t="s">
        <v>1044</v>
      </c>
      <c r="D6" s="7" t="s">
        <v>557</v>
      </c>
      <c r="E6" s="1" t="s">
        <v>805</v>
      </c>
      <c r="F6" s="16" t="s">
        <v>703</v>
      </c>
    </row>
    <row r="7" spans="1:6" ht="24.95" customHeight="1">
      <c r="A7" s="39" t="s">
        <v>1206</v>
      </c>
      <c r="B7" s="1">
        <f t="shared" si="0"/>
        <v>0.2</v>
      </c>
      <c r="C7" s="6" t="s">
        <v>748</v>
      </c>
      <c r="D7" s="1" t="s">
        <v>48</v>
      </c>
      <c r="E7" s="1" t="s">
        <v>749</v>
      </c>
      <c r="F7" s="16" t="s">
        <v>703</v>
      </c>
    </row>
    <row r="8" spans="1:6" ht="24.95" customHeight="1">
      <c r="A8" s="39" t="s">
        <v>1210</v>
      </c>
      <c r="B8" s="1">
        <f t="shared" si="0"/>
        <v>0.2</v>
      </c>
      <c r="C8" s="1" t="s">
        <v>1045</v>
      </c>
      <c r="D8" s="1" t="s">
        <v>558</v>
      </c>
      <c r="E8" s="1" t="s">
        <v>807</v>
      </c>
      <c r="F8" s="16" t="s">
        <v>703</v>
      </c>
    </row>
    <row r="9" spans="1:6" ht="24.95" customHeight="1">
      <c r="A9" s="39" t="s">
        <v>1210</v>
      </c>
      <c r="B9" s="1">
        <f t="shared" si="0"/>
        <v>0.3</v>
      </c>
      <c r="C9" s="8" t="s">
        <v>1046</v>
      </c>
      <c r="D9" s="1" t="s">
        <v>559</v>
      </c>
      <c r="E9" s="1" t="s">
        <v>809</v>
      </c>
      <c r="F9" s="16" t="s">
        <v>703</v>
      </c>
    </row>
    <row r="10" spans="1:6" ht="24.95" customHeight="1">
      <c r="A10" s="39" t="s">
        <v>1210</v>
      </c>
      <c r="B10" s="1">
        <f t="shared" si="0"/>
        <v>0.4</v>
      </c>
      <c r="C10" s="1" t="s">
        <v>810</v>
      </c>
      <c r="D10" s="1" t="s">
        <v>560</v>
      </c>
      <c r="E10" s="1" t="s">
        <v>810</v>
      </c>
      <c r="F10" s="16" t="s">
        <v>703</v>
      </c>
    </row>
    <row r="11" spans="1:6" ht="24.95" customHeight="1">
      <c r="A11" s="39" t="s">
        <v>1210</v>
      </c>
      <c r="B11" s="1">
        <f t="shared" si="0"/>
        <v>0.5</v>
      </c>
      <c r="C11" s="1" t="s">
        <v>811</v>
      </c>
      <c r="D11" s="1" t="s">
        <v>561</v>
      </c>
      <c r="E11" s="1" t="s">
        <v>812</v>
      </c>
      <c r="F11" s="16" t="s">
        <v>703</v>
      </c>
    </row>
    <row r="12" spans="1:6" ht="24.95" customHeight="1">
      <c r="A12" s="39" t="s">
        <v>1210</v>
      </c>
      <c r="B12" s="1">
        <f t="shared" si="0"/>
        <v>0.6</v>
      </c>
      <c r="C12" s="1" t="s">
        <v>1047</v>
      </c>
      <c r="D12" s="1" t="s">
        <v>562</v>
      </c>
      <c r="E12" s="1" t="s">
        <v>814</v>
      </c>
      <c r="F12" s="16" t="s">
        <v>703</v>
      </c>
    </row>
    <row r="13" spans="1:6" ht="24.95" customHeight="1">
      <c r="A13" s="39" t="s">
        <v>1210</v>
      </c>
      <c r="B13" s="1">
        <f t="shared" si="0"/>
        <v>0.7</v>
      </c>
      <c r="C13" s="1" t="s">
        <v>815</v>
      </c>
      <c r="D13" s="1" t="s">
        <v>563</v>
      </c>
      <c r="E13" s="1" t="s">
        <v>816</v>
      </c>
      <c r="F13" s="16" t="s">
        <v>703</v>
      </c>
    </row>
    <row r="14" spans="1:6" ht="24.95" customHeight="1">
      <c r="A14" s="39" t="s">
        <v>1207</v>
      </c>
      <c r="B14" s="1">
        <f t="shared" si="0"/>
        <v>1</v>
      </c>
      <c r="C14" s="1" t="s">
        <v>1036</v>
      </c>
      <c r="D14" s="1" t="s">
        <v>723</v>
      </c>
      <c r="E14" s="1" t="s">
        <v>724</v>
      </c>
      <c r="F14" s="16" t="s">
        <v>703</v>
      </c>
    </row>
    <row r="15" spans="1:6" ht="24.95" customHeight="1">
      <c r="A15" s="39" t="s">
        <v>1210</v>
      </c>
      <c r="B15" s="1">
        <f t="shared" si="0"/>
        <v>1</v>
      </c>
      <c r="C15" s="1" t="s">
        <v>817</v>
      </c>
      <c r="D15" s="1" t="s">
        <v>818</v>
      </c>
      <c r="E15" s="1" t="s">
        <v>819</v>
      </c>
      <c r="F15" s="16" t="s">
        <v>703</v>
      </c>
    </row>
    <row r="16" spans="1:6" ht="24.95" customHeight="1">
      <c r="A16" s="39" t="s">
        <v>1210</v>
      </c>
      <c r="B16" s="1">
        <f t="shared" si="0"/>
        <v>1.1000000000000001</v>
      </c>
      <c r="C16" s="1" t="s">
        <v>820</v>
      </c>
      <c r="D16" s="1" t="s">
        <v>564</v>
      </c>
      <c r="E16" s="1" t="s">
        <v>821</v>
      </c>
      <c r="F16" s="16" t="s">
        <v>703</v>
      </c>
    </row>
    <row r="17" spans="1:6" ht="24.95" customHeight="1">
      <c r="A17" s="39" t="s">
        <v>1207</v>
      </c>
      <c r="B17" s="1">
        <f t="shared" si="0"/>
        <v>2</v>
      </c>
      <c r="C17" s="1" t="s">
        <v>1037</v>
      </c>
      <c r="D17" s="7" t="s">
        <v>726</v>
      </c>
      <c r="E17" s="1" t="s">
        <v>727</v>
      </c>
      <c r="F17" s="16" t="s">
        <v>703</v>
      </c>
    </row>
    <row r="18" spans="1:6" ht="24.95" customHeight="1">
      <c r="A18" s="39" t="s">
        <v>1206</v>
      </c>
      <c r="B18" s="1">
        <f t="shared" si="0"/>
        <v>2</v>
      </c>
      <c r="C18" s="6" t="s">
        <v>750</v>
      </c>
      <c r="D18" s="1" t="s">
        <v>751</v>
      </c>
      <c r="E18" s="1" t="s">
        <v>752</v>
      </c>
      <c r="F18" s="16" t="s">
        <v>703</v>
      </c>
    </row>
    <row r="19" spans="1:6" ht="24.95" customHeight="1">
      <c r="A19" s="39" t="s">
        <v>1210</v>
      </c>
      <c r="B19" s="1">
        <f t="shared" si="0"/>
        <v>2</v>
      </c>
      <c r="C19" s="1" t="s">
        <v>1048</v>
      </c>
      <c r="D19" s="1" t="s">
        <v>823</v>
      </c>
      <c r="E19" s="1" t="s">
        <v>1049</v>
      </c>
      <c r="F19" s="16" t="s">
        <v>703</v>
      </c>
    </row>
    <row r="20" spans="1:6" ht="24.95" customHeight="1">
      <c r="A20" s="39" t="s">
        <v>1206</v>
      </c>
      <c r="B20" s="1">
        <f t="shared" si="0"/>
        <v>2.1</v>
      </c>
      <c r="C20" s="1" t="s">
        <v>753</v>
      </c>
      <c r="D20" s="1" t="s">
        <v>144</v>
      </c>
      <c r="E20" s="1" t="s">
        <v>754</v>
      </c>
      <c r="F20" s="16" t="s">
        <v>703</v>
      </c>
    </row>
    <row r="21" spans="1:6" ht="24.95" customHeight="1">
      <c r="A21" s="39" t="s">
        <v>1210</v>
      </c>
      <c r="B21" s="1">
        <f t="shared" si="0"/>
        <v>2.1</v>
      </c>
      <c r="C21" s="1" t="s">
        <v>825</v>
      </c>
      <c r="D21" s="1" t="s">
        <v>571</v>
      </c>
      <c r="E21" s="1" t="s">
        <v>826</v>
      </c>
      <c r="F21" s="16" t="s">
        <v>703</v>
      </c>
    </row>
    <row r="22" spans="1:6" ht="24.95" customHeight="1">
      <c r="A22" s="39" t="s">
        <v>1206</v>
      </c>
      <c r="B22" s="1">
        <f t="shared" si="0"/>
        <v>2.2000000000000002</v>
      </c>
      <c r="C22" s="1" t="s">
        <v>755</v>
      </c>
      <c r="D22" s="1" t="s">
        <v>148</v>
      </c>
      <c r="E22" s="1" t="s">
        <v>756</v>
      </c>
      <c r="F22" s="16" t="s">
        <v>703</v>
      </c>
    </row>
    <row r="23" spans="1:6" ht="24.95" customHeight="1">
      <c r="A23" s="39" t="s">
        <v>1210</v>
      </c>
      <c r="B23" s="1">
        <f t="shared" si="0"/>
        <v>2.2000000000000002</v>
      </c>
      <c r="C23" s="1" t="s">
        <v>827</v>
      </c>
      <c r="D23" s="1" t="s">
        <v>572</v>
      </c>
      <c r="E23" s="1" t="s">
        <v>828</v>
      </c>
      <c r="F23" s="16" t="s">
        <v>703</v>
      </c>
    </row>
    <row r="24" spans="1:6" ht="24.95" customHeight="1">
      <c r="A24" s="39" t="s">
        <v>1210</v>
      </c>
      <c r="B24" s="1">
        <f t="shared" si="0"/>
        <v>2.2999999999999998</v>
      </c>
      <c r="C24" s="1" t="s">
        <v>829</v>
      </c>
      <c r="D24" s="1" t="s">
        <v>573</v>
      </c>
      <c r="E24" s="1" t="s">
        <v>830</v>
      </c>
      <c r="F24" s="16" t="s">
        <v>703</v>
      </c>
    </row>
    <row r="25" spans="1:6" ht="24.95" customHeight="1">
      <c r="A25" s="39" t="s">
        <v>1210</v>
      </c>
      <c r="B25" s="1">
        <f t="shared" si="0"/>
        <v>2.4</v>
      </c>
      <c r="C25" s="1" t="s">
        <v>831</v>
      </c>
      <c r="D25" s="1" t="s">
        <v>574</v>
      </c>
      <c r="E25" s="1" t="s">
        <v>832</v>
      </c>
      <c r="F25" s="16" t="s">
        <v>703</v>
      </c>
    </row>
    <row r="26" spans="1:6" ht="24.95" customHeight="1">
      <c r="A26" s="39" t="s">
        <v>1210</v>
      </c>
      <c r="B26" s="1">
        <f t="shared" si="0"/>
        <v>2.5</v>
      </c>
      <c r="C26" s="1" t="s">
        <v>833</v>
      </c>
      <c r="D26" s="1" t="s">
        <v>575</v>
      </c>
      <c r="E26" s="1" t="s">
        <v>834</v>
      </c>
      <c r="F26" s="16" t="s">
        <v>703</v>
      </c>
    </row>
    <row r="27" spans="1:6" ht="24.95" customHeight="1">
      <c r="A27" s="39" t="s">
        <v>1210</v>
      </c>
      <c r="B27" s="1">
        <f t="shared" si="0"/>
        <v>2.6</v>
      </c>
      <c r="C27" s="1" t="s">
        <v>835</v>
      </c>
      <c r="D27" s="1" t="s">
        <v>576</v>
      </c>
      <c r="E27" s="1" t="s">
        <v>87</v>
      </c>
      <c r="F27" s="16" t="s">
        <v>703</v>
      </c>
    </row>
    <row r="28" spans="1:6" ht="24.95" customHeight="1">
      <c r="A28" s="39" t="s">
        <v>1210</v>
      </c>
      <c r="B28" s="1">
        <f t="shared" si="0"/>
        <v>2.7</v>
      </c>
      <c r="C28" s="1" t="s">
        <v>836</v>
      </c>
      <c r="D28" s="1" t="s">
        <v>577</v>
      </c>
      <c r="E28" s="1" t="s">
        <v>837</v>
      </c>
      <c r="F28" s="16" t="s">
        <v>703</v>
      </c>
    </row>
    <row r="29" spans="1:6" ht="24.95" customHeight="1">
      <c r="A29" s="39" t="s">
        <v>1207</v>
      </c>
      <c r="B29" s="1">
        <f t="shared" si="0"/>
        <v>3</v>
      </c>
      <c r="C29" s="1" t="s">
        <v>1038</v>
      </c>
      <c r="D29" s="1" t="s">
        <v>729</v>
      </c>
      <c r="E29" s="1" t="s">
        <v>730</v>
      </c>
      <c r="F29" s="16" t="s">
        <v>703</v>
      </c>
    </row>
    <row r="30" spans="1:6" ht="24.95" customHeight="1">
      <c r="A30" s="39" t="s">
        <v>1206</v>
      </c>
      <c r="B30" s="1">
        <f t="shared" si="0"/>
        <v>3</v>
      </c>
      <c r="C30" s="1" t="s">
        <v>757</v>
      </c>
      <c r="D30" s="1" t="s">
        <v>758</v>
      </c>
      <c r="E30" s="1" t="s">
        <v>759</v>
      </c>
      <c r="F30" s="16" t="s">
        <v>703</v>
      </c>
    </row>
    <row r="31" spans="1:6" ht="24.95" customHeight="1">
      <c r="A31" s="39" t="s">
        <v>1210</v>
      </c>
      <c r="B31" s="1">
        <f t="shared" si="0"/>
        <v>3</v>
      </c>
      <c r="C31" s="1" t="s">
        <v>838</v>
      </c>
      <c r="D31" s="1" t="s">
        <v>839</v>
      </c>
      <c r="E31" s="1" t="s">
        <v>840</v>
      </c>
      <c r="F31" s="1" t="s">
        <v>701</v>
      </c>
    </row>
    <row r="32" spans="1:6" ht="24.95" customHeight="1">
      <c r="A32" s="39" t="s">
        <v>1206</v>
      </c>
      <c r="B32" s="1">
        <f t="shared" si="0"/>
        <v>3.1</v>
      </c>
      <c r="C32" s="1" t="s">
        <v>760</v>
      </c>
      <c r="D32" s="1" t="s">
        <v>169</v>
      </c>
      <c r="E32" s="1" t="s">
        <v>761</v>
      </c>
      <c r="F32" s="16" t="s">
        <v>703</v>
      </c>
    </row>
    <row r="33" spans="1:6" ht="24.95" customHeight="1">
      <c r="A33" s="39" t="s">
        <v>1210</v>
      </c>
      <c r="B33" s="1">
        <f t="shared" si="0"/>
        <v>3.1</v>
      </c>
      <c r="C33" s="6" t="s">
        <v>841</v>
      </c>
      <c r="D33" s="7" t="s">
        <v>578</v>
      </c>
      <c r="E33" s="1" t="s">
        <v>842</v>
      </c>
      <c r="F33" s="1" t="s">
        <v>699</v>
      </c>
    </row>
    <row r="34" spans="1:6" ht="24.95" customHeight="1">
      <c r="A34" s="39" t="s">
        <v>1206</v>
      </c>
      <c r="B34" s="1">
        <f t="shared" ref="B34:B65" si="1">VALUE(RIGHT(D34,LEN(D34)-LEN(A34)))</f>
        <v>3.2</v>
      </c>
      <c r="C34" s="1" t="s">
        <v>762</v>
      </c>
      <c r="D34" s="1" t="s">
        <v>174</v>
      </c>
      <c r="E34" s="1" t="s">
        <v>763</v>
      </c>
      <c r="F34" s="16" t="s">
        <v>703</v>
      </c>
    </row>
    <row r="35" spans="1:6" ht="24.95" customHeight="1">
      <c r="A35" s="39" t="s">
        <v>1207</v>
      </c>
      <c r="B35" s="1">
        <f t="shared" si="1"/>
        <v>4</v>
      </c>
      <c r="C35" s="1" t="s">
        <v>1039</v>
      </c>
      <c r="D35" s="7" t="s">
        <v>732</v>
      </c>
      <c r="E35" s="1" t="s">
        <v>733</v>
      </c>
      <c r="F35" s="16" t="s">
        <v>703</v>
      </c>
    </row>
    <row r="36" spans="1:6" ht="24.95" customHeight="1">
      <c r="A36" s="39" t="s">
        <v>1206</v>
      </c>
      <c r="B36" s="1">
        <f t="shared" si="1"/>
        <v>4</v>
      </c>
      <c r="C36" s="1" t="s">
        <v>764</v>
      </c>
      <c r="D36" s="1" t="s">
        <v>765</v>
      </c>
      <c r="E36" s="1" t="s">
        <v>766</v>
      </c>
      <c r="F36" s="16" t="s">
        <v>703</v>
      </c>
    </row>
    <row r="37" spans="1:6" ht="24.95" customHeight="1">
      <c r="A37" s="39" t="s">
        <v>1207</v>
      </c>
      <c r="B37" s="1">
        <f t="shared" si="1"/>
        <v>5</v>
      </c>
      <c r="C37" s="1" t="s">
        <v>1040</v>
      </c>
      <c r="D37" s="1" t="s">
        <v>735</v>
      </c>
      <c r="E37" s="1" t="s">
        <v>736</v>
      </c>
      <c r="F37" s="16" t="s">
        <v>703</v>
      </c>
    </row>
    <row r="38" spans="1:6" ht="24.95" customHeight="1">
      <c r="A38" s="39" t="s">
        <v>1208</v>
      </c>
      <c r="B38" s="1">
        <f t="shared" si="1"/>
        <v>20</v>
      </c>
      <c r="C38" s="1" t="s">
        <v>767</v>
      </c>
      <c r="D38" s="1" t="s">
        <v>18</v>
      </c>
      <c r="E38" s="1" t="s">
        <v>768</v>
      </c>
      <c r="F38" s="16" t="s">
        <v>703</v>
      </c>
    </row>
    <row r="39" spans="1:6" ht="24.95" customHeight="1">
      <c r="A39" s="39" t="s">
        <v>1210</v>
      </c>
      <c r="B39" s="1">
        <f t="shared" si="1"/>
        <v>20</v>
      </c>
      <c r="C39" s="8" t="s">
        <v>843</v>
      </c>
      <c r="D39" s="7" t="s">
        <v>844</v>
      </c>
      <c r="E39" s="1" t="s">
        <v>845</v>
      </c>
      <c r="F39" s="16" t="s">
        <v>703</v>
      </c>
    </row>
    <row r="40" spans="1:6" ht="24.95" customHeight="1">
      <c r="A40" s="39" t="s">
        <v>1210</v>
      </c>
      <c r="B40" s="1">
        <f t="shared" si="1"/>
        <v>20.100000000000001</v>
      </c>
      <c r="C40" s="1" t="s">
        <v>846</v>
      </c>
      <c r="D40" s="7" t="s">
        <v>579</v>
      </c>
      <c r="E40" s="1" t="s">
        <v>847</v>
      </c>
      <c r="F40" s="16" t="s">
        <v>703</v>
      </c>
    </row>
    <row r="41" spans="1:6" ht="24.95" customHeight="1">
      <c r="A41" s="39" t="s">
        <v>1210</v>
      </c>
      <c r="B41" s="1">
        <f t="shared" si="1"/>
        <v>20.2</v>
      </c>
      <c r="C41" s="8" t="s">
        <v>848</v>
      </c>
      <c r="D41" s="1" t="s">
        <v>580</v>
      </c>
      <c r="E41" s="1" t="s">
        <v>849</v>
      </c>
      <c r="F41" s="16" t="s">
        <v>703</v>
      </c>
    </row>
    <row r="42" spans="1:6" ht="24.95" customHeight="1">
      <c r="A42" s="39" t="s">
        <v>1210</v>
      </c>
      <c r="B42" s="1">
        <f t="shared" si="1"/>
        <v>20.3</v>
      </c>
      <c r="C42" s="1" t="s">
        <v>1050</v>
      </c>
      <c r="D42" s="1" t="s">
        <v>581</v>
      </c>
      <c r="E42" s="1" t="s">
        <v>1051</v>
      </c>
      <c r="F42" s="16" t="s">
        <v>703</v>
      </c>
    </row>
    <row r="43" spans="1:6" ht="24.95" customHeight="1">
      <c r="A43" s="39" t="s">
        <v>1210</v>
      </c>
      <c r="B43" s="1">
        <f t="shared" si="1"/>
        <v>20.5</v>
      </c>
      <c r="C43" s="8" t="s">
        <v>1052</v>
      </c>
      <c r="D43" s="1" t="s">
        <v>583</v>
      </c>
      <c r="E43" s="1" t="s">
        <v>1053</v>
      </c>
      <c r="F43" s="16" t="s">
        <v>703</v>
      </c>
    </row>
    <row r="44" spans="1:6" ht="24.95" customHeight="1">
      <c r="A44" s="39" t="s">
        <v>1210</v>
      </c>
      <c r="B44" s="1">
        <f t="shared" si="1"/>
        <v>20.7</v>
      </c>
      <c r="C44" s="1" t="s">
        <v>1054</v>
      </c>
      <c r="D44" s="1" t="s">
        <v>585</v>
      </c>
      <c r="E44" s="1" t="s">
        <v>1055</v>
      </c>
      <c r="F44" s="16" t="s">
        <v>703</v>
      </c>
    </row>
    <row r="45" spans="1:6" ht="24.95" customHeight="1">
      <c r="A45" s="39" t="s">
        <v>1208</v>
      </c>
      <c r="B45" s="1">
        <f t="shared" si="1"/>
        <v>21</v>
      </c>
      <c r="C45" s="1" t="s">
        <v>769</v>
      </c>
      <c r="D45" s="1" t="s">
        <v>35</v>
      </c>
      <c r="E45" s="1" t="s">
        <v>770</v>
      </c>
      <c r="F45" s="16" t="s">
        <v>703</v>
      </c>
    </row>
    <row r="46" spans="1:6" ht="24.95" customHeight="1">
      <c r="A46" s="39" t="s">
        <v>1210</v>
      </c>
      <c r="B46" s="1">
        <f t="shared" si="1"/>
        <v>21</v>
      </c>
      <c r="C46" s="1" t="s">
        <v>1056</v>
      </c>
      <c r="D46" s="1" t="s">
        <v>1057</v>
      </c>
      <c r="E46" s="1" t="s">
        <v>1058</v>
      </c>
      <c r="F46" s="16" t="s">
        <v>703</v>
      </c>
    </row>
    <row r="47" spans="1:6" ht="24.95" customHeight="1">
      <c r="A47" s="39" t="s">
        <v>1210</v>
      </c>
      <c r="B47" s="1">
        <f t="shared" si="1"/>
        <v>21.1</v>
      </c>
      <c r="C47" s="1" t="s">
        <v>1059</v>
      </c>
      <c r="D47" s="1" t="s">
        <v>586</v>
      </c>
      <c r="E47" s="1" t="s">
        <v>1060</v>
      </c>
      <c r="F47" s="16" t="s">
        <v>703</v>
      </c>
    </row>
    <row r="48" spans="1:6" ht="24.95" customHeight="1">
      <c r="A48" s="39" t="s">
        <v>1210</v>
      </c>
      <c r="B48" s="1">
        <f t="shared" si="1"/>
        <v>21.2</v>
      </c>
      <c r="C48" s="1" t="s">
        <v>1061</v>
      </c>
      <c r="D48" s="1" t="s">
        <v>587</v>
      </c>
      <c r="E48" s="1" t="s">
        <v>1062</v>
      </c>
      <c r="F48" s="16" t="s">
        <v>703</v>
      </c>
    </row>
    <row r="49" spans="1:6" ht="24.95" customHeight="1">
      <c r="A49" s="39" t="s">
        <v>1210</v>
      </c>
      <c r="B49" s="1">
        <f t="shared" si="1"/>
        <v>21.3</v>
      </c>
      <c r="C49" s="1" t="s">
        <v>1063</v>
      </c>
      <c r="D49" s="1" t="s">
        <v>588</v>
      </c>
      <c r="E49" s="1" t="s">
        <v>1064</v>
      </c>
      <c r="F49" s="16" t="s">
        <v>703</v>
      </c>
    </row>
    <row r="50" spans="1:6" ht="24.95" customHeight="1">
      <c r="A50" s="39" t="s">
        <v>1210</v>
      </c>
      <c r="B50" s="1">
        <f t="shared" si="1"/>
        <v>21.4</v>
      </c>
      <c r="C50" s="1" t="s">
        <v>1065</v>
      </c>
      <c r="D50" s="1" t="s">
        <v>589</v>
      </c>
      <c r="E50" s="1" t="s">
        <v>1066</v>
      </c>
      <c r="F50" s="16" t="s">
        <v>703</v>
      </c>
    </row>
    <row r="51" spans="1:6" ht="24.95" customHeight="1">
      <c r="A51" s="39" t="s">
        <v>1210</v>
      </c>
      <c r="B51" s="1">
        <f t="shared" si="1"/>
        <v>21.5</v>
      </c>
      <c r="C51" s="1" t="s">
        <v>1067</v>
      </c>
      <c r="D51" s="1" t="s">
        <v>590</v>
      </c>
      <c r="E51" s="1" t="s">
        <v>220</v>
      </c>
      <c r="F51" s="16" t="s">
        <v>703</v>
      </c>
    </row>
    <row r="52" spans="1:6" ht="24.95" customHeight="1">
      <c r="A52" s="39" t="s">
        <v>1210</v>
      </c>
      <c r="B52" s="1">
        <f t="shared" si="1"/>
        <v>21.6</v>
      </c>
      <c r="C52" s="1" t="s">
        <v>1068</v>
      </c>
      <c r="D52" s="1" t="s">
        <v>591</v>
      </c>
      <c r="E52" s="1" t="s">
        <v>224</v>
      </c>
      <c r="F52" s="16" t="s">
        <v>703</v>
      </c>
    </row>
    <row r="53" spans="1:6" ht="24.95" customHeight="1">
      <c r="A53" s="39" t="s">
        <v>1210</v>
      </c>
      <c r="B53" s="1">
        <f t="shared" si="1"/>
        <v>21.7</v>
      </c>
      <c r="C53" s="1" t="s">
        <v>1069</v>
      </c>
      <c r="D53" s="1" t="s">
        <v>592</v>
      </c>
      <c r="E53" s="1" t="s">
        <v>1070</v>
      </c>
      <c r="F53" s="16" t="s">
        <v>703</v>
      </c>
    </row>
    <row r="54" spans="1:6" ht="24.95" customHeight="1">
      <c r="A54" s="39" t="s">
        <v>1208</v>
      </c>
      <c r="B54" s="1">
        <f t="shared" si="1"/>
        <v>22</v>
      </c>
      <c r="C54" s="1" t="s">
        <v>771</v>
      </c>
      <c r="D54" s="1" t="s">
        <v>50</v>
      </c>
      <c r="E54" s="1" t="s">
        <v>772</v>
      </c>
      <c r="F54" s="16" t="s">
        <v>703</v>
      </c>
    </row>
    <row r="55" spans="1:6" ht="24.95" customHeight="1">
      <c r="A55" s="39" t="s">
        <v>1210</v>
      </c>
      <c r="B55" s="1">
        <f t="shared" si="1"/>
        <v>22.2</v>
      </c>
      <c r="C55" s="1" t="s">
        <v>1071</v>
      </c>
      <c r="D55" s="1" t="s">
        <v>594</v>
      </c>
      <c r="E55" s="1" t="s">
        <v>1072</v>
      </c>
      <c r="F55" s="16" t="s">
        <v>703</v>
      </c>
    </row>
    <row r="56" spans="1:6" ht="24.95" customHeight="1">
      <c r="A56" s="39" t="s">
        <v>1210</v>
      </c>
      <c r="B56" s="1">
        <f t="shared" si="1"/>
        <v>22.3</v>
      </c>
      <c r="C56" s="1" t="s">
        <v>1073</v>
      </c>
      <c r="D56" s="1" t="s">
        <v>595</v>
      </c>
      <c r="E56" s="1" t="s">
        <v>805</v>
      </c>
      <c r="F56" s="16" t="s">
        <v>703</v>
      </c>
    </row>
    <row r="57" spans="1:6" ht="24.95" customHeight="1">
      <c r="A57" s="39" t="s">
        <v>1210</v>
      </c>
      <c r="B57" s="1">
        <f t="shared" si="1"/>
        <v>22.4</v>
      </c>
      <c r="C57" s="6" t="s">
        <v>1074</v>
      </c>
      <c r="D57" s="7" t="s">
        <v>596</v>
      </c>
      <c r="E57" s="1" t="s">
        <v>807</v>
      </c>
      <c r="F57" s="1" t="s">
        <v>699</v>
      </c>
    </row>
    <row r="58" spans="1:6" ht="24.95" customHeight="1">
      <c r="A58" s="39" t="s">
        <v>1210</v>
      </c>
      <c r="B58" s="1">
        <f t="shared" si="1"/>
        <v>22.5</v>
      </c>
      <c r="C58" s="8" t="s">
        <v>1075</v>
      </c>
      <c r="D58" s="7" t="s">
        <v>597</v>
      </c>
      <c r="E58" s="1" t="s">
        <v>809</v>
      </c>
      <c r="F58" s="16" t="s">
        <v>703</v>
      </c>
    </row>
    <row r="59" spans="1:6" ht="24.95" customHeight="1">
      <c r="A59" s="39" t="s">
        <v>1210</v>
      </c>
      <c r="B59" s="1">
        <f t="shared" si="1"/>
        <v>22.7</v>
      </c>
      <c r="C59" s="5" t="s">
        <v>1076</v>
      </c>
      <c r="D59" s="7" t="s">
        <v>599</v>
      </c>
      <c r="E59" s="1" t="s">
        <v>1077</v>
      </c>
      <c r="F59" s="16" t="s">
        <v>703</v>
      </c>
    </row>
    <row r="60" spans="1:6" ht="24.95" customHeight="1">
      <c r="A60" s="39" t="s">
        <v>1210</v>
      </c>
      <c r="B60" s="1">
        <f t="shared" si="1"/>
        <v>23</v>
      </c>
      <c r="C60" s="8" t="s">
        <v>1078</v>
      </c>
      <c r="D60" s="1" t="s">
        <v>1079</v>
      </c>
      <c r="E60" s="1" t="s">
        <v>1080</v>
      </c>
      <c r="F60" s="16" t="s">
        <v>703</v>
      </c>
    </row>
    <row r="61" spans="1:6" ht="24.95" customHeight="1">
      <c r="A61" s="39" t="s">
        <v>1210</v>
      </c>
      <c r="B61" s="1">
        <f t="shared" si="1"/>
        <v>23.1</v>
      </c>
      <c r="C61" s="5" t="s">
        <v>1081</v>
      </c>
      <c r="D61" s="1" t="s">
        <v>600</v>
      </c>
      <c r="E61" s="1" t="s">
        <v>1082</v>
      </c>
      <c r="F61" s="16" t="s">
        <v>703</v>
      </c>
    </row>
    <row r="62" spans="1:6" ht="24.95" customHeight="1">
      <c r="A62" s="39" t="s">
        <v>1210</v>
      </c>
      <c r="B62" s="1">
        <f t="shared" si="1"/>
        <v>24</v>
      </c>
      <c r="C62" s="8" t="s">
        <v>1083</v>
      </c>
      <c r="D62" s="1" t="s">
        <v>1084</v>
      </c>
      <c r="E62" s="1" t="s">
        <v>1085</v>
      </c>
      <c r="F62" s="16" t="s">
        <v>703</v>
      </c>
    </row>
    <row r="63" spans="1:6" ht="24.95" customHeight="1">
      <c r="A63" s="39" t="s">
        <v>1210</v>
      </c>
      <c r="B63" s="1">
        <f t="shared" si="1"/>
        <v>24.1</v>
      </c>
      <c r="C63" s="1" t="s">
        <v>1086</v>
      </c>
      <c r="D63" s="1" t="s">
        <v>607</v>
      </c>
      <c r="E63" s="1" t="s">
        <v>1087</v>
      </c>
      <c r="F63" s="16" t="s">
        <v>703</v>
      </c>
    </row>
    <row r="64" spans="1:6" ht="24.95" customHeight="1">
      <c r="A64" s="39" t="s">
        <v>1210</v>
      </c>
      <c r="B64" s="1">
        <f t="shared" si="1"/>
        <v>24.2</v>
      </c>
      <c r="C64" s="1" t="s">
        <v>1088</v>
      </c>
      <c r="D64" s="1" t="s">
        <v>608</v>
      </c>
      <c r="E64" s="1" t="s">
        <v>1089</v>
      </c>
      <c r="F64" s="16" t="s">
        <v>703</v>
      </c>
    </row>
    <row r="65" spans="1:6" ht="24.95" customHeight="1">
      <c r="A65" s="39" t="s">
        <v>1210</v>
      </c>
      <c r="B65" s="1">
        <f t="shared" si="1"/>
        <v>24.3</v>
      </c>
      <c r="C65" s="1" t="s">
        <v>1090</v>
      </c>
      <c r="D65" s="1" t="s">
        <v>609</v>
      </c>
      <c r="E65" s="1" t="s">
        <v>1091</v>
      </c>
      <c r="F65" s="16" t="s">
        <v>703</v>
      </c>
    </row>
    <row r="66" spans="1:6" ht="24.95" customHeight="1">
      <c r="A66" s="39" t="s">
        <v>1210</v>
      </c>
      <c r="B66" s="1">
        <f t="shared" ref="B66:B97" si="2">VALUE(RIGHT(D66,LEN(D66)-LEN(A66)))</f>
        <v>25</v>
      </c>
      <c r="C66" s="1" t="s">
        <v>1092</v>
      </c>
      <c r="D66" s="1" t="s">
        <v>1093</v>
      </c>
      <c r="E66" s="1" t="s">
        <v>1094</v>
      </c>
      <c r="F66" s="16" t="s">
        <v>703</v>
      </c>
    </row>
    <row r="67" spans="1:6" ht="24.95" customHeight="1">
      <c r="A67" s="39" t="s">
        <v>1210</v>
      </c>
      <c r="B67" s="1">
        <f t="shared" si="2"/>
        <v>25.1</v>
      </c>
      <c r="C67" s="1" t="s">
        <v>1095</v>
      </c>
      <c r="D67" s="1" t="s">
        <v>614</v>
      </c>
      <c r="E67" s="1" t="s">
        <v>1096</v>
      </c>
      <c r="F67" s="16" t="s">
        <v>703</v>
      </c>
    </row>
    <row r="68" spans="1:6" ht="24.95" customHeight="1">
      <c r="A68" s="39" t="s">
        <v>1210</v>
      </c>
      <c r="B68" s="1">
        <f t="shared" si="2"/>
        <v>25.2</v>
      </c>
      <c r="C68" s="6" t="s">
        <v>1097</v>
      </c>
      <c r="D68" s="7" t="s">
        <v>615</v>
      </c>
      <c r="E68" s="1" t="s">
        <v>1098</v>
      </c>
      <c r="F68" s="1" t="s">
        <v>699</v>
      </c>
    </row>
    <row r="69" spans="1:6" ht="24.95" customHeight="1">
      <c r="A69" s="39" t="s">
        <v>1210</v>
      </c>
      <c r="B69" s="1">
        <f t="shared" si="2"/>
        <v>25.3</v>
      </c>
      <c r="C69" s="1" t="s">
        <v>1099</v>
      </c>
      <c r="D69" s="7" t="s">
        <v>616</v>
      </c>
      <c r="E69" s="1" t="s">
        <v>1100</v>
      </c>
      <c r="F69" s="16" t="s">
        <v>703</v>
      </c>
    </row>
    <row r="70" spans="1:6" ht="24.95" customHeight="1">
      <c r="A70" s="39" t="s">
        <v>1210</v>
      </c>
      <c r="B70" s="1">
        <f t="shared" si="2"/>
        <v>25.4</v>
      </c>
      <c r="C70" s="1" t="s">
        <v>1101</v>
      </c>
      <c r="D70" s="1" t="s">
        <v>617</v>
      </c>
      <c r="E70" s="1" t="s">
        <v>1102</v>
      </c>
      <c r="F70" s="16" t="s">
        <v>703</v>
      </c>
    </row>
    <row r="71" spans="1:6" ht="24.95" customHeight="1">
      <c r="A71" s="39" t="s">
        <v>1210</v>
      </c>
      <c r="B71" s="1">
        <f t="shared" si="2"/>
        <v>25.5</v>
      </c>
      <c r="C71" s="1" t="s">
        <v>1103</v>
      </c>
      <c r="D71" s="1" t="s">
        <v>618</v>
      </c>
      <c r="E71" s="1" t="s">
        <v>1104</v>
      </c>
      <c r="F71" s="16" t="s">
        <v>703</v>
      </c>
    </row>
    <row r="72" spans="1:6" ht="24.95" customHeight="1">
      <c r="A72" s="39" t="s">
        <v>1210</v>
      </c>
      <c r="B72" s="1">
        <f t="shared" si="2"/>
        <v>32</v>
      </c>
      <c r="C72" s="1" t="s">
        <v>1105</v>
      </c>
      <c r="D72" s="1" t="s">
        <v>1106</v>
      </c>
      <c r="E72" s="1" t="s">
        <v>1107</v>
      </c>
      <c r="F72" s="16" t="s">
        <v>703</v>
      </c>
    </row>
    <row r="73" spans="1:6" ht="24.95" customHeight="1">
      <c r="A73" s="39" t="s">
        <v>1207</v>
      </c>
      <c r="B73" s="1">
        <f t="shared" si="2"/>
        <v>100</v>
      </c>
      <c r="C73" s="6" t="s">
        <v>737</v>
      </c>
      <c r="D73" s="1" t="s">
        <v>738</v>
      </c>
      <c r="E73" s="1" t="s">
        <v>739</v>
      </c>
      <c r="F73" s="16" t="s">
        <v>703</v>
      </c>
    </row>
    <row r="74" spans="1:6" ht="24.95" customHeight="1">
      <c r="A74" s="39" t="s">
        <v>1212</v>
      </c>
      <c r="B74" s="1">
        <f t="shared" si="2"/>
        <v>100</v>
      </c>
      <c r="C74" s="1" t="s">
        <v>1193</v>
      </c>
      <c r="D74" s="1" t="s">
        <v>695</v>
      </c>
      <c r="E74" s="1" t="s">
        <v>694</v>
      </c>
      <c r="F74" s="16" t="s">
        <v>703</v>
      </c>
    </row>
    <row r="75" spans="1:6" ht="24.95" customHeight="1">
      <c r="A75" s="39" t="s">
        <v>1207</v>
      </c>
      <c r="B75" s="1">
        <f t="shared" si="2"/>
        <v>101</v>
      </c>
      <c r="C75" s="5" t="s">
        <v>740</v>
      </c>
      <c r="D75" s="1" t="s">
        <v>741</v>
      </c>
      <c r="E75" s="1" t="s">
        <v>742</v>
      </c>
      <c r="F75" s="16" t="s">
        <v>703</v>
      </c>
    </row>
    <row r="76" spans="1:6" ht="24.95" customHeight="1">
      <c r="A76" s="39" t="s">
        <v>1209</v>
      </c>
      <c r="B76" s="1">
        <f t="shared" si="2"/>
        <v>101</v>
      </c>
      <c r="C76" s="1" t="s">
        <v>773</v>
      </c>
      <c r="D76" s="1" t="s">
        <v>21</v>
      </c>
      <c r="E76" s="1" t="s">
        <v>774</v>
      </c>
      <c r="F76" s="16" t="s">
        <v>703</v>
      </c>
    </row>
    <row r="77" spans="1:6" ht="24.95" customHeight="1">
      <c r="A77" s="39" t="s">
        <v>1207</v>
      </c>
      <c r="B77" s="1">
        <f t="shared" si="2"/>
        <v>102</v>
      </c>
      <c r="C77" s="1" t="s">
        <v>743</v>
      </c>
      <c r="D77" s="1" t="s">
        <v>744</v>
      </c>
      <c r="E77" s="1" t="s">
        <v>745</v>
      </c>
      <c r="F77" s="16" t="s">
        <v>703</v>
      </c>
    </row>
    <row r="78" spans="1:6" ht="24.95" customHeight="1">
      <c r="A78" s="39" t="s">
        <v>1209</v>
      </c>
      <c r="B78" s="1">
        <f t="shared" si="2"/>
        <v>102</v>
      </c>
      <c r="C78" s="1" t="s">
        <v>775</v>
      </c>
      <c r="D78" s="1" t="s">
        <v>40</v>
      </c>
      <c r="E78" s="1" t="s">
        <v>776</v>
      </c>
      <c r="F78" s="16" t="s">
        <v>703</v>
      </c>
    </row>
    <row r="79" spans="1:6" ht="24.95" customHeight="1">
      <c r="A79" s="39" t="s">
        <v>1209</v>
      </c>
      <c r="B79" s="1">
        <f t="shared" si="2"/>
        <v>103</v>
      </c>
      <c r="C79" s="1" t="s">
        <v>1041</v>
      </c>
      <c r="D79" s="1" t="s">
        <v>54</v>
      </c>
      <c r="E79" s="1" t="s">
        <v>777</v>
      </c>
      <c r="F79" s="16" t="s">
        <v>703</v>
      </c>
    </row>
    <row r="80" spans="1:6" ht="24.95" customHeight="1">
      <c r="A80" s="39" t="s">
        <v>1209</v>
      </c>
      <c r="B80" s="1">
        <f t="shared" si="2"/>
        <v>104</v>
      </c>
      <c r="C80" s="1" t="s">
        <v>1042</v>
      </c>
      <c r="D80" s="1" t="s">
        <v>64</v>
      </c>
      <c r="E80" s="1" t="s">
        <v>778</v>
      </c>
      <c r="F80" s="16" t="s">
        <v>703</v>
      </c>
    </row>
    <row r="81" spans="1:6" ht="24.95" customHeight="1">
      <c r="A81" s="39" t="s">
        <v>1209</v>
      </c>
      <c r="B81" s="1">
        <f t="shared" si="2"/>
        <v>105</v>
      </c>
      <c r="C81" s="1" t="s">
        <v>779</v>
      </c>
      <c r="D81" s="1" t="s">
        <v>73</v>
      </c>
      <c r="E81" s="1" t="s">
        <v>780</v>
      </c>
      <c r="F81" s="16" t="s">
        <v>703</v>
      </c>
    </row>
    <row r="82" spans="1:6" ht="24.95" customHeight="1">
      <c r="A82" s="39" t="s">
        <v>1209</v>
      </c>
      <c r="B82" s="1">
        <f t="shared" si="2"/>
        <v>106</v>
      </c>
      <c r="C82" s="1" t="s">
        <v>781</v>
      </c>
      <c r="D82" s="1" t="s">
        <v>84</v>
      </c>
      <c r="E82" s="1" t="s">
        <v>782</v>
      </c>
      <c r="F82" s="16" t="s">
        <v>703</v>
      </c>
    </row>
    <row r="83" spans="1:6" ht="24.95" customHeight="1">
      <c r="A83" s="39" t="s">
        <v>1209</v>
      </c>
      <c r="B83" s="1">
        <f t="shared" si="2"/>
        <v>107</v>
      </c>
      <c r="C83" s="1" t="s">
        <v>783</v>
      </c>
      <c r="D83" s="1" t="s">
        <v>93</v>
      </c>
      <c r="E83" s="1" t="s">
        <v>784</v>
      </c>
      <c r="F83" s="16" t="s">
        <v>703</v>
      </c>
    </row>
    <row r="84" spans="1:6" ht="24.95" customHeight="1">
      <c r="A84" s="39" t="s">
        <v>1209</v>
      </c>
      <c r="B84" s="1">
        <f t="shared" si="2"/>
        <v>110</v>
      </c>
      <c r="C84" s="1" t="s">
        <v>785</v>
      </c>
      <c r="D84" s="1" t="s">
        <v>114</v>
      </c>
      <c r="E84" s="1" t="s">
        <v>786</v>
      </c>
      <c r="F84" s="16" t="s">
        <v>703</v>
      </c>
    </row>
    <row r="85" spans="1:6" ht="24.95" customHeight="1">
      <c r="A85" s="39" t="s">
        <v>1209</v>
      </c>
      <c r="B85" s="1">
        <f t="shared" si="2"/>
        <v>111</v>
      </c>
      <c r="C85" s="1" t="s">
        <v>787</v>
      </c>
      <c r="D85" s="1" t="s">
        <v>120</v>
      </c>
      <c r="E85" s="1" t="s">
        <v>788</v>
      </c>
      <c r="F85" s="16" t="s">
        <v>703</v>
      </c>
    </row>
    <row r="86" spans="1:6" ht="24.95" customHeight="1">
      <c r="A86" s="39" t="s">
        <v>1209</v>
      </c>
      <c r="B86" s="1">
        <f t="shared" si="2"/>
        <v>112</v>
      </c>
      <c r="C86" s="1" t="s">
        <v>789</v>
      </c>
      <c r="D86" s="1" t="s">
        <v>124</v>
      </c>
      <c r="E86" s="1" t="s">
        <v>790</v>
      </c>
      <c r="F86" s="16" t="s">
        <v>703</v>
      </c>
    </row>
    <row r="87" spans="1:6" ht="24.95" customHeight="1">
      <c r="A87" s="39" t="s">
        <v>1209</v>
      </c>
      <c r="B87" s="1">
        <f t="shared" si="2"/>
        <v>113</v>
      </c>
      <c r="C87" s="6" t="s">
        <v>791</v>
      </c>
      <c r="D87" s="1" t="s">
        <v>129</v>
      </c>
      <c r="E87" s="1" t="s">
        <v>792</v>
      </c>
      <c r="F87" s="16" t="s">
        <v>703</v>
      </c>
    </row>
    <row r="88" spans="1:6" ht="24.95" customHeight="1">
      <c r="A88" s="39" t="s">
        <v>1209</v>
      </c>
      <c r="B88" s="1">
        <f t="shared" si="2"/>
        <v>114</v>
      </c>
      <c r="C88" s="1" t="s">
        <v>793</v>
      </c>
      <c r="D88" s="1" t="s">
        <v>133</v>
      </c>
      <c r="E88" s="1" t="s">
        <v>794</v>
      </c>
      <c r="F88" s="16" t="s">
        <v>703</v>
      </c>
    </row>
    <row r="89" spans="1:6" ht="24.95" customHeight="1">
      <c r="A89" s="39" t="s">
        <v>1209</v>
      </c>
      <c r="B89" s="1">
        <f t="shared" si="2"/>
        <v>115</v>
      </c>
      <c r="C89" s="1" t="s">
        <v>795</v>
      </c>
      <c r="D89" s="1" t="s">
        <v>136</v>
      </c>
      <c r="E89" s="1" t="s">
        <v>796</v>
      </c>
      <c r="F89" s="1" t="s">
        <v>701</v>
      </c>
    </row>
    <row r="90" spans="1:6" ht="24.95" customHeight="1">
      <c r="A90" s="39" t="s">
        <v>1209</v>
      </c>
      <c r="B90" s="1">
        <f t="shared" si="2"/>
        <v>116</v>
      </c>
      <c r="C90" s="1" t="s">
        <v>1043</v>
      </c>
      <c r="D90" s="1" t="s">
        <v>139</v>
      </c>
      <c r="E90" s="1" t="s">
        <v>797</v>
      </c>
      <c r="F90" s="1" t="s">
        <v>701</v>
      </c>
    </row>
    <row r="91" spans="1:6" ht="24.95" customHeight="1">
      <c r="A91" s="39" t="s">
        <v>1209</v>
      </c>
      <c r="B91" s="1">
        <f t="shared" si="2"/>
        <v>117</v>
      </c>
      <c r="C91" s="6" t="s">
        <v>798</v>
      </c>
      <c r="D91" s="7" t="s">
        <v>143</v>
      </c>
      <c r="E91" s="1" t="s">
        <v>799</v>
      </c>
      <c r="F91" s="1" t="s">
        <v>699</v>
      </c>
    </row>
    <row r="92" spans="1:6" ht="24.95" customHeight="1">
      <c r="A92" s="39" t="s">
        <v>1209</v>
      </c>
      <c r="B92" s="1">
        <f t="shared" si="2"/>
        <v>118</v>
      </c>
      <c r="C92" s="1" t="s">
        <v>800</v>
      </c>
      <c r="D92" s="1" t="s">
        <v>147</v>
      </c>
      <c r="E92" s="1" t="s">
        <v>801</v>
      </c>
      <c r="F92" s="16" t="s">
        <v>703</v>
      </c>
    </row>
    <row r="93" spans="1:6" ht="24.95" customHeight="1">
      <c r="A93" s="39" t="s">
        <v>1212</v>
      </c>
      <c r="B93" s="1">
        <f t="shared" si="2"/>
        <v>200</v>
      </c>
      <c r="C93" s="1" t="s">
        <v>1194</v>
      </c>
      <c r="D93" s="1" t="s">
        <v>635</v>
      </c>
      <c r="E93" s="1" t="s">
        <v>1009</v>
      </c>
      <c r="F93" s="16" t="s">
        <v>703</v>
      </c>
    </row>
    <row r="94" spans="1:6" ht="24.95" customHeight="1">
      <c r="A94" s="39" t="s">
        <v>1212</v>
      </c>
      <c r="B94" s="1">
        <f t="shared" si="2"/>
        <v>202</v>
      </c>
      <c r="C94" s="1" t="s">
        <v>1195</v>
      </c>
      <c r="D94" s="1" t="s">
        <v>636</v>
      </c>
      <c r="E94" s="16" t="s">
        <v>1010</v>
      </c>
      <c r="F94" s="16" t="s">
        <v>703</v>
      </c>
    </row>
    <row r="95" spans="1:6" ht="24.95" customHeight="1">
      <c r="A95" s="39" t="s">
        <v>1212</v>
      </c>
      <c r="B95" s="1">
        <f t="shared" si="2"/>
        <v>206</v>
      </c>
      <c r="C95" s="1" t="s">
        <v>1196</v>
      </c>
      <c r="D95" s="1" t="s">
        <v>638</v>
      </c>
      <c r="E95" s="1" t="s">
        <v>1197</v>
      </c>
      <c r="F95" s="16" t="s">
        <v>703</v>
      </c>
    </row>
    <row r="96" spans="1:6" ht="24.95" customHeight="1">
      <c r="A96" s="39" t="s">
        <v>1212</v>
      </c>
      <c r="B96" s="1">
        <f t="shared" si="2"/>
        <v>208</v>
      </c>
      <c r="C96" s="1" t="s">
        <v>1198</v>
      </c>
      <c r="D96" s="1" t="s">
        <v>639</v>
      </c>
      <c r="E96" s="1" t="s">
        <v>1199</v>
      </c>
      <c r="F96" s="16" t="s">
        <v>703</v>
      </c>
    </row>
    <row r="97" spans="1:6" ht="24.95" customHeight="1">
      <c r="A97" s="39" t="s">
        <v>1212</v>
      </c>
      <c r="B97" s="1">
        <f t="shared" si="2"/>
        <v>210</v>
      </c>
      <c r="C97" s="1" t="s">
        <v>1200</v>
      </c>
      <c r="D97" s="1" t="s">
        <v>640</v>
      </c>
      <c r="E97" s="1" t="s">
        <v>80</v>
      </c>
      <c r="F97" s="16" t="s">
        <v>703</v>
      </c>
    </row>
    <row r="98" spans="1:6" ht="24.95" customHeight="1">
      <c r="A98" s="39" t="s">
        <v>1212</v>
      </c>
      <c r="B98" s="1">
        <f t="shared" ref="B98:B129" si="3">VALUE(RIGHT(D98,LEN(D98)-LEN(A98)))</f>
        <v>220</v>
      </c>
      <c r="C98" s="5" t="s">
        <v>1017</v>
      </c>
      <c r="D98" s="1" t="s">
        <v>645</v>
      </c>
      <c r="E98" s="1" t="s">
        <v>1011</v>
      </c>
      <c r="F98" s="16" t="s">
        <v>703</v>
      </c>
    </row>
    <row r="99" spans="1:6" ht="24.95" customHeight="1">
      <c r="A99" s="39" t="s">
        <v>1212</v>
      </c>
      <c r="B99" s="1">
        <f t="shared" si="3"/>
        <v>222</v>
      </c>
      <c r="C99" s="1" t="s">
        <v>1018</v>
      </c>
      <c r="D99" s="1" t="s">
        <v>646</v>
      </c>
      <c r="E99" s="1" t="s">
        <v>1012</v>
      </c>
      <c r="F99" s="1" t="s">
        <v>701</v>
      </c>
    </row>
    <row r="100" spans="1:6" ht="24.95" customHeight="1">
      <c r="A100" s="39" t="s">
        <v>1212</v>
      </c>
      <c r="B100" s="1">
        <f t="shared" si="3"/>
        <v>224</v>
      </c>
      <c r="C100" s="1" t="s">
        <v>1019</v>
      </c>
      <c r="D100" s="7" t="s">
        <v>647</v>
      </c>
      <c r="E100" s="1" t="s">
        <v>1013</v>
      </c>
      <c r="F100" s="16" t="s">
        <v>703</v>
      </c>
    </row>
    <row r="101" spans="1:6" ht="24.95" customHeight="1">
      <c r="A101" s="39" t="s">
        <v>1212</v>
      </c>
      <c r="B101" s="1">
        <f t="shared" si="3"/>
        <v>226</v>
      </c>
      <c r="C101" s="1" t="s">
        <v>1020</v>
      </c>
      <c r="D101" s="1" t="s">
        <v>648</v>
      </c>
      <c r="E101" s="1" t="s">
        <v>1014</v>
      </c>
      <c r="F101" s="16" t="s">
        <v>703</v>
      </c>
    </row>
    <row r="102" spans="1:6" ht="24.95" customHeight="1">
      <c r="A102" s="39" t="s">
        <v>1212</v>
      </c>
      <c r="B102" s="1">
        <f t="shared" si="3"/>
        <v>228</v>
      </c>
      <c r="C102" s="1" t="s">
        <v>1021</v>
      </c>
      <c r="D102" s="1" t="s">
        <v>649</v>
      </c>
      <c r="E102" s="1" t="s">
        <v>1015</v>
      </c>
      <c r="F102" s="16" t="s">
        <v>703</v>
      </c>
    </row>
    <row r="103" spans="1:6" ht="24.95" customHeight="1">
      <c r="A103" s="39" t="s">
        <v>1212</v>
      </c>
      <c r="B103" s="1">
        <f t="shared" si="3"/>
        <v>230</v>
      </c>
      <c r="C103" s="1" t="s">
        <v>1022</v>
      </c>
      <c r="D103" s="1" t="s">
        <v>650</v>
      </c>
      <c r="E103" s="1" t="s">
        <v>1016</v>
      </c>
      <c r="F103" s="16" t="s">
        <v>703</v>
      </c>
    </row>
    <row r="104" spans="1:6" ht="24.95" customHeight="1">
      <c r="A104" s="39" t="s">
        <v>1212</v>
      </c>
      <c r="B104" s="1">
        <f t="shared" si="3"/>
        <v>232</v>
      </c>
      <c r="C104" s="1" t="s">
        <v>1029</v>
      </c>
      <c r="D104" s="1" t="s">
        <v>651</v>
      </c>
      <c r="E104" s="1" t="s">
        <v>1023</v>
      </c>
      <c r="F104" s="16" t="s">
        <v>703</v>
      </c>
    </row>
    <row r="105" spans="1:6" ht="24.95" customHeight="1">
      <c r="A105" s="39" t="s">
        <v>1212</v>
      </c>
      <c r="B105" s="1">
        <f t="shared" si="3"/>
        <v>234</v>
      </c>
      <c r="C105" s="1" t="s">
        <v>1030</v>
      </c>
      <c r="D105" s="1" t="s">
        <v>652</v>
      </c>
      <c r="E105" s="5" t="s">
        <v>1024</v>
      </c>
      <c r="F105" s="16" t="s">
        <v>703</v>
      </c>
    </row>
    <row r="106" spans="1:6" ht="24.95" customHeight="1">
      <c r="A106" s="39" t="s">
        <v>1212</v>
      </c>
      <c r="B106" s="1">
        <f t="shared" si="3"/>
        <v>236</v>
      </c>
      <c r="C106" s="1" t="s">
        <v>1031</v>
      </c>
      <c r="D106" s="1" t="s">
        <v>653</v>
      </c>
      <c r="E106" s="5" t="s">
        <v>1025</v>
      </c>
      <c r="F106" s="16" t="s">
        <v>703</v>
      </c>
    </row>
    <row r="107" spans="1:6" ht="24.95" customHeight="1">
      <c r="A107" s="39" t="s">
        <v>1212</v>
      </c>
      <c r="B107" s="1">
        <f t="shared" si="3"/>
        <v>238</v>
      </c>
      <c r="C107" s="1" t="s">
        <v>1032</v>
      </c>
      <c r="D107" s="1" t="s">
        <v>654</v>
      </c>
      <c r="E107" s="5" t="s">
        <v>1026</v>
      </c>
      <c r="F107" s="16" t="s">
        <v>703</v>
      </c>
    </row>
    <row r="108" spans="1:6" ht="24.95" customHeight="1">
      <c r="A108" s="39" t="s">
        <v>1212</v>
      </c>
      <c r="B108" s="1">
        <f t="shared" si="3"/>
        <v>240</v>
      </c>
      <c r="C108" s="1" t="s">
        <v>1033</v>
      </c>
      <c r="D108" s="1" t="s">
        <v>655</v>
      </c>
      <c r="E108" s="1" t="s">
        <v>1027</v>
      </c>
      <c r="F108" s="1" t="s">
        <v>701</v>
      </c>
    </row>
    <row r="109" spans="1:6" ht="24.95" customHeight="1">
      <c r="A109" s="39" t="s">
        <v>1212</v>
      </c>
      <c r="B109" s="1">
        <f t="shared" si="3"/>
        <v>242</v>
      </c>
      <c r="C109" s="1" t="s">
        <v>1034</v>
      </c>
      <c r="D109" s="7" t="s">
        <v>656</v>
      </c>
      <c r="E109" s="5" t="s">
        <v>1028</v>
      </c>
      <c r="F109" s="16" t="s">
        <v>703</v>
      </c>
    </row>
    <row r="110" spans="1:6" ht="24.95" customHeight="1">
      <c r="A110" s="39" t="s">
        <v>1212</v>
      </c>
      <c r="B110" s="1">
        <f t="shared" si="3"/>
        <v>244</v>
      </c>
      <c r="C110" s="1" t="s">
        <v>1201</v>
      </c>
      <c r="D110" s="1" t="s">
        <v>657</v>
      </c>
      <c r="E110" s="5" t="s">
        <v>1202</v>
      </c>
      <c r="F110" s="16" t="s">
        <v>703</v>
      </c>
    </row>
    <row r="111" spans="1:6" ht="24.95" customHeight="1">
      <c r="A111" s="39" t="s">
        <v>1211</v>
      </c>
      <c r="B111" s="1">
        <f t="shared" si="3"/>
        <v>304</v>
      </c>
      <c r="C111" s="1" t="s">
        <v>1128</v>
      </c>
      <c r="D111" s="1" t="s">
        <v>661</v>
      </c>
      <c r="E111" s="1" t="s">
        <v>1129</v>
      </c>
      <c r="F111" s="16" t="s">
        <v>703</v>
      </c>
    </row>
    <row r="112" spans="1:6" ht="24.95" customHeight="1">
      <c r="A112" s="39" t="s">
        <v>1211</v>
      </c>
      <c r="B112" s="1">
        <f t="shared" si="3"/>
        <v>504</v>
      </c>
      <c r="C112" s="1" t="s">
        <v>1130</v>
      </c>
      <c r="D112" s="1" t="s">
        <v>39</v>
      </c>
      <c r="E112" s="1" t="s">
        <v>1131</v>
      </c>
      <c r="F112" s="16" t="s">
        <v>703</v>
      </c>
    </row>
    <row r="113" spans="1:6" ht="24.95" customHeight="1">
      <c r="A113" s="39" t="s">
        <v>1211</v>
      </c>
      <c r="B113" s="1">
        <f t="shared" si="3"/>
        <v>508</v>
      </c>
      <c r="C113" s="1" t="s">
        <v>1132</v>
      </c>
      <c r="D113" s="1" t="s">
        <v>53</v>
      </c>
      <c r="E113" s="1" t="s">
        <v>1133</v>
      </c>
      <c r="F113" s="16" t="s">
        <v>703</v>
      </c>
    </row>
    <row r="114" spans="1:6" ht="24.95" customHeight="1">
      <c r="A114" s="39" t="s">
        <v>1211</v>
      </c>
      <c r="B114" s="1">
        <f t="shared" si="3"/>
        <v>512</v>
      </c>
      <c r="C114" s="1" t="s">
        <v>1134</v>
      </c>
      <c r="D114" s="7" t="s">
        <v>62</v>
      </c>
      <c r="E114" s="1" t="s">
        <v>1135</v>
      </c>
      <c r="F114" s="16" t="s">
        <v>703</v>
      </c>
    </row>
    <row r="115" spans="1:6" ht="24.95" customHeight="1">
      <c r="A115" s="39" t="s">
        <v>1211</v>
      </c>
      <c r="B115" s="1">
        <f t="shared" si="3"/>
        <v>520</v>
      </c>
      <c r="C115" s="1" t="s">
        <v>1136</v>
      </c>
      <c r="D115" s="1" t="s">
        <v>83</v>
      </c>
      <c r="E115" s="1" t="s">
        <v>1137</v>
      </c>
      <c r="F115" s="16" t="s">
        <v>703</v>
      </c>
    </row>
    <row r="116" spans="1:6" ht="24.95" customHeight="1">
      <c r="A116" s="39" t="s">
        <v>1211</v>
      </c>
      <c r="B116" s="1">
        <f t="shared" si="3"/>
        <v>524</v>
      </c>
      <c r="C116" s="1" t="s">
        <v>1138</v>
      </c>
      <c r="D116" s="1" t="s">
        <v>92</v>
      </c>
      <c r="E116" s="1" t="s">
        <v>1139</v>
      </c>
      <c r="F116" s="16" t="s">
        <v>703</v>
      </c>
    </row>
    <row r="117" spans="1:6" ht="24.95" customHeight="1">
      <c r="A117" s="39" t="s">
        <v>1211</v>
      </c>
      <c r="B117" s="1">
        <f t="shared" si="3"/>
        <v>528</v>
      </c>
      <c r="C117" s="1" t="s">
        <v>1140</v>
      </c>
      <c r="D117" s="1" t="s">
        <v>101</v>
      </c>
      <c r="E117" s="1" t="s">
        <v>1141</v>
      </c>
      <c r="F117" s="16" t="s">
        <v>703</v>
      </c>
    </row>
    <row r="118" spans="1:6" ht="24.95" customHeight="1">
      <c r="A118" s="39" t="s">
        <v>1211</v>
      </c>
      <c r="B118" s="1">
        <f t="shared" si="3"/>
        <v>532</v>
      </c>
      <c r="C118" s="1" t="s">
        <v>1142</v>
      </c>
      <c r="D118" s="1" t="s">
        <v>107</v>
      </c>
      <c r="E118" s="1" t="s">
        <v>1143</v>
      </c>
      <c r="F118" s="16" t="s">
        <v>703</v>
      </c>
    </row>
    <row r="119" spans="1:6" ht="24.95" customHeight="1">
      <c r="A119" s="39" t="s">
        <v>1211</v>
      </c>
      <c r="B119" s="1">
        <f t="shared" si="3"/>
        <v>536</v>
      </c>
      <c r="C119" s="1" t="s">
        <v>1144</v>
      </c>
      <c r="D119" s="1" t="s">
        <v>113</v>
      </c>
      <c r="E119" s="1" t="s">
        <v>1145</v>
      </c>
      <c r="F119" s="16" t="s">
        <v>703</v>
      </c>
    </row>
    <row r="120" spans="1:6" ht="24.95" customHeight="1">
      <c r="A120" s="39" t="s">
        <v>1211</v>
      </c>
      <c r="B120" s="1">
        <f t="shared" si="3"/>
        <v>540</v>
      </c>
      <c r="C120" s="1" t="s">
        <v>1146</v>
      </c>
      <c r="D120" s="1" t="s">
        <v>119</v>
      </c>
      <c r="E120" s="1" t="s">
        <v>1147</v>
      </c>
      <c r="F120" s="16" t="s">
        <v>703</v>
      </c>
    </row>
    <row r="121" spans="1:6" ht="24.95" customHeight="1">
      <c r="A121" s="39" t="s">
        <v>1211</v>
      </c>
      <c r="B121" s="1">
        <f t="shared" si="3"/>
        <v>544</v>
      </c>
      <c r="C121" s="1" t="s">
        <v>1148</v>
      </c>
      <c r="D121" s="1" t="s">
        <v>123</v>
      </c>
      <c r="E121" s="1" t="s">
        <v>1149</v>
      </c>
      <c r="F121" s="16" t="s">
        <v>703</v>
      </c>
    </row>
    <row r="122" spans="1:6" ht="24.95" customHeight="1">
      <c r="A122" s="39" t="s">
        <v>1211</v>
      </c>
      <c r="B122" s="1">
        <f t="shared" si="3"/>
        <v>548</v>
      </c>
      <c r="C122" s="1" t="s">
        <v>1150</v>
      </c>
      <c r="D122" s="7" t="s">
        <v>128</v>
      </c>
      <c r="E122" s="1" t="s">
        <v>1151</v>
      </c>
      <c r="F122" s="16" t="s">
        <v>703</v>
      </c>
    </row>
    <row r="123" spans="1:6" ht="24.95" customHeight="1">
      <c r="A123" s="39" t="s">
        <v>1211</v>
      </c>
      <c r="B123" s="1">
        <f t="shared" si="3"/>
        <v>552</v>
      </c>
      <c r="C123" s="1" t="s">
        <v>1152</v>
      </c>
      <c r="D123" s="1" t="s">
        <v>132</v>
      </c>
      <c r="E123" s="1" t="s">
        <v>1153</v>
      </c>
      <c r="F123" s="16" t="s">
        <v>703</v>
      </c>
    </row>
    <row r="124" spans="1:6" ht="24.95" customHeight="1">
      <c r="A124" s="39" t="s">
        <v>1211</v>
      </c>
      <c r="B124" s="1">
        <f t="shared" si="3"/>
        <v>564</v>
      </c>
      <c r="C124" s="1" t="s">
        <v>1154</v>
      </c>
      <c r="D124" s="1" t="s">
        <v>142</v>
      </c>
      <c r="E124" s="1" t="s">
        <v>141</v>
      </c>
      <c r="F124" s="16" t="s">
        <v>703</v>
      </c>
    </row>
    <row r="125" spans="1:6" ht="24.95" customHeight="1">
      <c r="A125" s="39" t="s">
        <v>1211</v>
      </c>
      <c r="B125" s="1">
        <f t="shared" si="3"/>
        <v>568</v>
      </c>
      <c r="C125" s="1" t="s">
        <v>1155</v>
      </c>
      <c r="D125" s="1" t="s">
        <v>146</v>
      </c>
      <c r="E125" s="1" t="s">
        <v>1156</v>
      </c>
      <c r="F125" s="16" t="s">
        <v>703</v>
      </c>
    </row>
    <row r="126" spans="1:6" ht="24.95" customHeight="1">
      <c r="A126" s="39" t="s">
        <v>1211</v>
      </c>
      <c r="B126" s="1">
        <f t="shared" si="3"/>
        <v>572</v>
      </c>
      <c r="C126" s="1" t="s">
        <v>1157</v>
      </c>
      <c r="D126" s="1" t="s">
        <v>149</v>
      </c>
      <c r="E126" s="1" t="s">
        <v>445</v>
      </c>
      <c r="F126" s="16" t="s">
        <v>703</v>
      </c>
    </row>
    <row r="127" spans="1:6" ht="24.95" customHeight="1">
      <c r="A127" s="39" t="s">
        <v>1211</v>
      </c>
      <c r="B127" s="1">
        <f t="shared" si="3"/>
        <v>576</v>
      </c>
      <c r="C127" s="1" t="s">
        <v>1158</v>
      </c>
      <c r="D127" s="1" t="s">
        <v>152</v>
      </c>
      <c r="E127" s="1" t="s">
        <v>446</v>
      </c>
      <c r="F127" s="16" t="s">
        <v>703</v>
      </c>
    </row>
    <row r="128" spans="1:6" ht="24.95" customHeight="1">
      <c r="A128" s="39" t="s">
        <v>1211</v>
      </c>
      <c r="B128" s="1">
        <f t="shared" si="3"/>
        <v>580</v>
      </c>
      <c r="C128" s="1" t="s">
        <v>1159</v>
      </c>
      <c r="D128" s="1" t="s">
        <v>155</v>
      </c>
      <c r="E128" s="1" t="s">
        <v>447</v>
      </c>
      <c r="F128" s="16" t="s">
        <v>703</v>
      </c>
    </row>
    <row r="129" spans="1:6" ht="24.95" customHeight="1">
      <c r="A129" s="39" t="s">
        <v>1211</v>
      </c>
      <c r="B129" s="1">
        <f t="shared" si="3"/>
        <v>584</v>
      </c>
      <c r="C129" s="1" t="s">
        <v>1160</v>
      </c>
      <c r="D129" s="1" t="s">
        <v>159</v>
      </c>
      <c r="E129" s="1" t="s">
        <v>158</v>
      </c>
      <c r="F129" s="16" t="s">
        <v>703</v>
      </c>
    </row>
    <row r="130" spans="1:6" ht="24.95" customHeight="1">
      <c r="A130" s="39" t="s">
        <v>1211</v>
      </c>
      <c r="B130" s="1">
        <f t="shared" ref="B130:B161" si="4">VALUE(RIGHT(D130,LEN(D130)-LEN(A130)))</f>
        <v>588</v>
      </c>
      <c r="C130" s="1" t="s">
        <v>1161</v>
      </c>
      <c r="D130" s="7" t="s">
        <v>163</v>
      </c>
      <c r="E130" s="1" t="s">
        <v>162</v>
      </c>
      <c r="F130" s="16" t="s">
        <v>703</v>
      </c>
    </row>
    <row r="131" spans="1:6" ht="24.95" customHeight="1">
      <c r="A131" s="39" t="s">
        <v>1211</v>
      </c>
      <c r="B131" s="1">
        <f t="shared" si="4"/>
        <v>592</v>
      </c>
      <c r="C131" s="1" t="s">
        <v>1162</v>
      </c>
      <c r="D131" s="1" t="s">
        <v>166</v>
      </c>
      <c r="E131" s="1" t="s">
        <v>1163</v>
      </c>
      <c r="F131" s="16" t="s">
        <v>703</v>
      </c>
    </row>
    <row r="132" spans="1:6" ht="24.95" customHeight="1">
      <c r="A132" s="39" t="s">
        <v>1211</v>
      </c>
      <c r="B132" s="1">
        <f t="shared" si="4"/>
        <v>596</v>
      </c>
      <c r="C132" s="1" t="s">
        <v>1164</v>
      </c>
      <c r="D132" s="1" t="s">
        <v>662</v>
      </c>
      <c r="E132" s="1" t="s">
        <v>1165</v>
      </c>
      <c r="F132" s="16" t="s">
        <v>703</v>
      </c>
    </row>
    <row r="133" spans="1:6" ht="24.95" customHeight="1">
      <c r="A133" s="39" t="s">
        <v>1211</v>
      </c>
      <c r="B133" s="1">
        <f t="shared" si="4"/>
        <v>600</v>
      </c>
      <c r="C133" s="1" t="s">
        <v>1166</v>
      </c>
      <c r="D133" s="1" t="s">
        <v>172</v>
      </c>
      <c r="E133" s="1" t="s">
        <v>1167</v>
      </c>
      <c r="F133" s="16" t="s">
        <v>703</v>
      </c>
    </row>
    <row r="134" spans="1:6" ht="24.95" customHeight="1">
      <c r="A134" s="39" t="s">
        <v>1211</v>
      </c>
      <c r="B134" s="1">
        <f t="shared" si="4"/>
        <v>604</v>
      </c>
      <c r="C134" s="1" t="s">
        <v>1168</v>
      </c>
      <c r="D134" s="1" t="s">
        <v>177</v>
      </c>
      <c r="E134" s="1" t="s">
        <v>176</v>
      </c>
      <c r="F134" s="16" t="s">
        <v>703</v>
      </c>
    </row>
    <row r="135" spans="1:6" ht="24.95" customHeight="1">
      <c r="A135" s="39" t="s">
        <v>1211</v>
      </c>
      <c r="B135" s="1">
        <f t="shared" si="4"/>
        <v>608</v>
      </c>
      <c r="C135" s="1" t="s">
        <v>1169</v>
      </c>
      <c r="D135" s="1" t="s">
        <v>181</v>
      </c>
      <c r="E135" s="1" t="s">
        <v>1170</v>
      </c>
      <c r="F135" s="16" t="s">
        <v>703</v>
      </c>
    </row>
    <row r="136" spans="1:6" ht="24.95" customHeight="1">
      <c r="A136" s="39" t="s">
        <v>1211</v>
      </c>
      <c r="B136" s="1">
        <f t="shared" si="4"/>
        <v>612</v>
      </c>
      <c r="C136" s="1" t="s">
        <v>1171</v>
      </c>
      <c r="D136" s="1" t="s">
        <v>186</v>
      </c>
      <c r="E136" s="1" t="s">
        <v>1172</v>
      </c>
      <c r="F136" s="16" t="s">
        <v>703</v>
      </c>
    </row>
    <row r="137" spans="1:6" ht="24.95" customHeight="1">
      <c r="A137" s="39" t="s">
        <v>1211</v>
      </c>
      <c r="B137" s="1">
        <f t="shared" si="4"/>
        <v>616</v>
      </c>
      <c r="C137" s="1" t="s">
        <v>1173</v>
      </c>
      <c r="D137" s="1" t="s">
        <v>191</v>
      </c>
      <c r="E137" s="1" t="s">
        <v>1174</v>
      </c>
      <c r="F137" s="16" t="s">
        <v>703</v>
      </c>
    </row>
    <row r="138" spans="1:6" ht="24.95" customHeight="1">
      <c r="A138" s="39" t="s">
        <v>1210</v>
      </c>
      <c r="B138" s="1">
        <f t="shared" si="4"/>
        <v>620</v>
      </c>
      <c r="C138" s="1" t="s">
        <v>1108</v>
      </c>
      <c r="D138" s="1" t="s">
        <v>326</v>
      </c>
      <c r="E138" s="1" t="s">
        <v>1109</v>
      </c>
      <c r="F138" s="16" t="s">
        <v>703</v>
      </c>
    </row>
    <row r="139" spans="1:6" ht="24.95" customHeight="1">
      <c r="A139" s="39" t="s">
        <v>1210</v>
      </c>
      <c r="B139" s="1">
        <f t="shared" si="4"/>
        <v>620.1</v>
      </c>
      <c r="C139" s="1" t="s">
        <v>1110</v>
      </c>
      <c r="D139" s="1" t="s">
        <v>330</v>
      </c>
      <c r="E139" s="1" t="s">
        <v>1111</v>
      </c>
      <c r="F139" s="16" t="s">
        <v>703</v>
      </c>
    </row>
    <row r="140" spans="1:6" ht="24.95" customHeight="1">
      <c r="A140" s="39" t="s">
        <v>1210</v>
      </c>
      <c r="B140" s="1">
        <f t="shared" si="4"/>
        <v>620.20000000000005</v>
      </c>
      <c r="C140" s="1" t="s">
        <v>1112</v>
      </c>
      <c r="D140" s="1" t="s">
        <v>334</v>
      </c>
      <c r="E140" s="1" t="s">
        <v>1113</v>
      </c>
      <c r="F140" s="16" t="s">
        <v>703</v>
      </c>
    </row>
    <row r="141" spans="1:6" ht="24.95" customHeight="1">
      <c r="A141" s="39" t="s">
        <v>1210</v>
      </c>
      <c r="B141" s="1">
        <f t="shared" si="4"/>
        <v>620.29999999999995</v>
      </c>
      <c r="C141" s="1" t="s">
        <v>1114</v>
      </c>
      <c r="D141" s="1" t="s">
        <v>338</v>
      </c>
      <c r="E141" s="1" t="s">
        <v>1115</v>
      </c>
      <c r="F141" s="16" t="s">
        <v>703</v>
      </c>
    </row>
    <row r="142" spans="1:6" ht="24.95" customHeight="1">
      <c r="A142" s="39" t="s">
        <v>1210</v>
      </c>
      <c r="B142" s="1">
        <f t="shared" si="4"/>
        <v>620.4</v>
      </c>
      <c r="C142" s="6" t="s">
        <v>1116</v>
      </c>
      <c r="D142" s="7" t="s">
        <v>342</v>
      </c>
      <c r="E142" s="1" t="s">
        <v>1117</v>
      </c>
      <c r="F142" s="1" t="s">
        <v>699</v>
      </c>
    </row>
    <row r="143" spans="1:6" ht="24.95" customHeight="1">
      <c r="A143" s="39" t="s">
        <v>1210</v>
      </c>
      <c r="B143" s="1">
        <f t="shared" si="4"/>
        <v>620.5</v>
      </c>
      <c r="C143" s="1" t="s">
        <v>1118</v>
      </c>
      <c r="D143" s="7" t="s">
        <v>345</v>
      </c>
      <c r="E143" s="1" t="s">
        <v>1119</v>
      </c>
      <c r="F143" s="16" t="s">
        <v>703</v>
      </c>
    </row>
    <row r="144" spans="1:6" ht="24.95" customHeight="1">
      <c r="A144" s="39" t="s">
        <v>1210</v>
      </c>
      <c r="B144" s="1">
        <f t="shared" si="4"/>
        <v>620.6</v>
      </c>
      <c r="C144" s="1" t="s">
        <v>1120</v>
      </c>
      <c r="D144" s="1" t="s">
        <v>348</v>
      </c>
      <c r="E144" s="1" t="s">
        <v>1121</v>
      </c>
      <c r="F144" s="16" t="s">
        <v>703</v>
      </c>
    </row>
    <row r="145" spans="1:6" ht="24.95" customHeight="1">
      <c r="A145" s="39" t="s">
        <v>1210</v>
      </c>
      <c r="B145" s="1">
        <f t="shared" si="4"/>
        <v>620.70000000000005</v>
      </c>
      <c r="C145" s="1" t="s">
        <v>1122</v>
      </c>
      <c r="D145" s="1" t="s">
        <v>351</v>
      </c>
      <c r="E145" s="1" t="s">
        <v>1123</v>
      </c>
      <c r="F145" s="16" t="s">
        <v>703</v>
      </c>
    </row>
    <row r="146" spans="1:6" ht="24.95" customHeight="1">
      <c r="A146" s="39" t="s">
        <v>1210</v>
      </c>
      <c r="B146" s="1">
        <f t="shared" si="4"/>
        <v>621</v>
      </c>
      <c r="C146" s="1" t="s">
        <v>1124</v>
      </c>
      <c r="D146" s="1" t="s">
        <v>354</v>
      </c>
      <c r="E146" s="1" t="s">
        <v>1125</v>
      </c>
      <c r="F146" s="16" t="s">
        <v>703</v>
      </c>
    </row>
    <row r="147" spans="1:6" ht="24.95" customHeight="1">
      <c r="A147" s="39" t="s">
        <v>1210</v>
      </c>
      <c r="B147" s="1">
        <f t="shared" si="4"/>
        <v>621.1</v>
      </c>
      <c r="C147" s="1" t="s">
        <v>1126</v>
      </c>
      <c r="D147" s="1" t="s">
        <v>358</v>
      </c>
      <c r="E147" s="1" t="s">
        <v>1127</v>
      </c>
      <c r="F147" s="16" t="s">
        <v>703</v>
      </c>
    </row>
    <row r="148" spans="1:6" ht="24.95" customHeight="1">
      <c r="A148" s="39" t="s">
        <v>1211</v>
      </c>
      <c r="B148" s="1">
        <f t="shared" si="4"/>
        <v>640</v>
      </c>
      <c r="C148" s="1" t="s">
        <v>1175</v>
      </c>
      <c r="D148" s="7" t="s">
        <v>213</v>
      </c>
      <c r="E148" s="1" t="s">
        <v>1176</v>
      </c>
      <c r="F148" s="16" t="s">
        <v>703</v>
      </c>
    </row>
    <row r="149" spans="1:6" ht="24.95" customHeight="1">
      <c r="A149" s="39" t="s">
        <v>1211</v>
      </c>
      <c r="B149" s="1">
        <f t="shared" si="4"/>
        <v>644</v>
      </c>
      <c r="C149" s="1" t="s">
        <v>1177</v>
      </c>
      <c r="D149" s="1" t="s">
        <v>217</v>
      </c>
      <c r="E149" s="1" t="s">
        <v>1178</v>
      </c>
      <c r="F149" s="16" t="s">
        <v>703</v>
      </c>
    </row>
    <row r="150" spans="1:6" ht="24.95" customHeight="1">
      <c r="A150" s="39" t="s">
        <v>1211</v>
      </c>
      <c r="B150" s="1">
        <f t="shared" si="4"/>
        <v>648</v>
      </c>
      <c r="C150" s="1" t="s">
        <v>1179</v>
      </c>
      <c r="D150" s="1" t="s">
        <v>221</v>
      </c>
      <c r="E150" s="1" t="s">
        <v>1180</v>
      </c>
      <c r="F150" s="16" t="s">
        <v>703</v>
      </c>
    </row>
    <row r="151" spans="1:6" ht="24.95" customHeight="1">
      <c r="A151" s="39" t="s">
        <v>1211</v>
      </c>
      <c r="B151" s="1">
        <f t="shared" si="4"/>
        <v>652</v>
      </c>
      <c r="C151" s="1" t="s">
        <v>1181</v>
      </c>
      <c r="D151" s="1" t="s">
        <v>225</v>
      </c>
      <c r="E151" s="1" t="s">
        <v>1182</v>
      </c>
      <c r="F151" s="16" t="s">
        <v>703</v>
      </c>
    </row>
    <row r="152" spans="1:6" ht="24.95" customHeight="1">
      <c r="A152" s="39" t="s">
        <v>1211</v>
      </c>
      <c r="B152" s="1">
        <f t="shared" si="4"/>
        <v>700</v>
      </c>
      <c r="C152" s="1" t="s">
        <v>963</v>
      </c>
      <c r="D152" s="1" t="s">
        <v>262</v>
      </c>
      <c r="E152" s="1" t="s">
        <v>1183</v>
      </c>
      <c r="F152" s="16" t="s">
        <v>703</v>
      </c>
    </row>
    <row r="153" spans="1:6" ht="24.95" customHeight="1">
      <c r="A153" s="39" t="s">
        <v>1211</v>
      </c>
      <c r="B153" s="1">
        <f t="shared" si="4"/>
        <v>704</v>
      </c>
      <c r="C153" s="1" t="s">
        <v>964</v>
      </c>
      <c r="D153" s="1" t="s">
        <v>265</v>
      </c>
      <c r="E153" s="1" t="s">
        <v>1184</v>
      </c>
      <c r="F153" s="16" t="s">
        <v>703</v>
      </c>
    </row>
    <row r="154" spans="1:6" ht="24.95" customHeight="1">
      <c r="A154" s="39" t="s">
        <v>1211</v>
      </c>
      <c r="B154" s="1">
        <f t="shared" si="4"/>
        <v>708</v>
      </c>
      <c r="C154" s="1" t="s">
        <v>965</v>
      </c>
      <c r="D154" s="1" t="s">
        <v>268</v>
      </c>
      <c r="E154" s="1" t="s">
        <v>936</v>
      </c>
      <c r="F154" s="16" t="s">
        <v>703</v>
      </c>
    </row>
    <row r="155" spans="1:6" ht="24.95" customHeight="1">
      <c r="A155" s="39" t="s">
        <v>1211</v>
      </c>
      <c r="B155" s="1">
        <f t="shared" si="4"/>
        <v>712</v>
      </c>
      <c r="C155" s="1" t="s">
        <v>966</v>
      </c>
      <c r="D155" s="1" t="s">
        <v>271</v>
      </c>
      <c r="E155" s="1" t="s">
        <v>937</v>
      </c>
      <c r="F155" s="16" t="s">
        <v>703</v>
      </c>
    </row>
    <row r="156" spans="1:6" ht="24.95" customHeight="1">
      <c r="A156" s="39" t="s">
        <v>1211</v>
      </c>
      <c r="B156" s="1">
        <f t="shared" si="4"/>
        <v>716</v>
      </c>
      <c r="C156" s="1" t="s">
        <v>967</v>
      </c>
      <c r="D156" s="7" t="s">
        <v>274</v>
      </c>
      <c r="E156" s="1" t="s">
        <v>938</v>
      </c>
      <c r="F156" s="16" t="s">
        <v>703</v>
      </c>
    </row>
    <row r="157" spans="1:6" ht="24.95" customHeight="1">
      <c r="A157" s="39" t="s">
        <v>1211</v>
      </c>
      <c r="B157" s="1">
        <f t="shared" si="4"/>
        <v>720</v>
      </c>
      <c r="C157" s="1" t="s">
        <v>968</v>
      </c>
      <c r="D157" s="1" t="s">
        <v>277</v>
      </c>
      <c r="E157" s="1" t="s">
        <v>939</v>
      </c>
      <c r="F157" s="16" t="s">
        <v>703</v>
      </c>
    </row>
    <row r="158" spans="1:6" ht="24.95" customHeight="1">
      <c r="A158" s="39" t="s">
        <v>1211</v>
      </c>
      <c r="B158" s="1">
        <f t="shared" si="4"/>
        <v>724</v>
      </c>
      <c r="C158" s="1" t="s">
        <v>969</v>
      </c>
      <c r="D158" s="1" t="s">
        <v>279</v>
      </c>
      <c r="E158" s="1" t="s">
        <v>940</v>
      </c>
      <c r="F158" s="16" t="s">
        <v>703</v>
      </c>
    </row>
    <row r="159" spans="1:6" ht="24.95" customHeight="1">
      <c r="A159" s="39" t="s">
        <v>1211</v>
      </c>
      <c r="B159" s="1">
        <f t="shared" si="4"/>
        <v>728</v>
      </c>
      <c r="C159" s="1" t="s">
        <v>970</v>
      </c>
      <c r="D159" s="1" t="s">
        <v>282</v>
      </c>
      <c r="E159" s="1" t="s">
        <v>941</v>
      </c>
      <c r="F159" s="16" t="s">
        <v>703</v>
      </c>
    </row>
    <row r="160" spans="1:6" ht="24.95" customHeight="1">
      <c r="A160" s="39" t="s">
        <v>1211</v>
      </c>
      <c r="B160" s="1">
        <f t="shared" si="4"/>
        <v>732</v>
      </c>
      <c r="C160" s="1" t="s">
        <v>971</v>
      </c>
      <c r="D160" s="1" t="s">
        <v>286</v>
      </c>
      <c r="E160" s="1" t="s">
        <v>942</v>
      </c>
      <c r="F160" s="16" t="s">
        <v>703</v>
      </c>
    </row>
    <row r="161" spans="1:6" ht="24.95" customHeight="1">
      <c r="A161" s="39" t="s">
        <v>1211</v>
      </c>
      <c r="B161" s="1">
        <f t="shared" si="4"/>
        <v>736</v>
      </c>
      <c r="C161" s="1" t="s">
        <v>972</v>
      </c>
      <c r="D161" s="1" t="s">
        <v>289</v>
      </c>
      <c r="E161" s="1" t="s">
        <v>943</v>
      </c>
      <c r="F161" s="16" t="s">
        <v>703</v>
      </c>
    </row>
    <row r="162" spans="1:6" ht="24.95" customHeight="1">
      <c r="A162" s="39" t="s">
        <v>1211</v>
      </c>
      <c r="B162" s="1">
        <f t="shared" ref="B162:B193" si="5">VALUE(RIGHT(D162,LEN(D162)-LEN(A162)))</f>
        <v>740</v>
      </c>
      <c r="C162" s="1" t="s">
        <v>973</v>
      </c>
      <c r="D162" s="1" t="s">
        <v>292</v>
      </c>
      <c r="E162" s="1" t="s">
        <v>944</v>
      </c>
      <c r="F162" s="16" t="s">
        <v>703</v>
      </c>
    </row>
    <row r="163" spans="1:6" ht="24.95" customHeight="1">
      <c r="A163" s="39" t="s">
        <v>1211</v>
      </c>
      <c r="B163" s="1">
        <f t="shared" si="5"/>
        <v>744</v>
      </c>
      <c r="C163" s="1" t="s">
        <v>974</v>
      </c>
      <c r="D163" s="1" t="s">
        <v>295</v>
      </c>
      <c r="E163" s="1" t="s">
        <v>945</v>
      </c>
      <c r="F163" s="16" t="s">
        <v>703</v>
      </c>
    </row>
    <row r="164" spans="1:6" ht="24.95" customHeight="1">
      <c r="A164" s="39" t="s">
        <v>1211</v>
      </c>
      <c r="B164" s="1">
        <f t="shared" si="5"/>
        <v>748</v>
      </c>
      <c r="C164" s="1" t="s">
        <v>975</v>
      </c>
      <c r="D164" s="7" t="s">
        <v>298</v>
      </c>
      <c r="E164" s="1" t="s">
        <v>946</v>
      </c>
      <c r="F164" s="16" t="s">
        <v>703</v>
      </c>
    </row>
    <row r="165" spans="1:6" ht="24.95" customHeight="1">
      <c r="A165" s="39" t="s">
        <v>1211</v>
      </c>
      <c r="B165" s="1">
        <f t="shared" si="5"/>
        <v>752</v>
      </c>
      <c r="C165" s="1" t="s">
        <v>976</v>
      </c>
      <c r="D165" s="1" t="s">
        <v>301</v>
      </c>
      <c r="E165" s="1" t="s">
        <v>947</v>
      </c>
      <c r="F165" s="16" t="s">
        <v>703</v>
      </c>
    </row>
    <row r="166" spans="1:6" ht="24.95" customHeight="1">
      <c r="A166" s="39" t="s">
        <v>1211</v>
      </c>
      <c r="B166" s="1">
        <f t="shared" si="5"/>
        <v>756</v>
      </c>
      <c r="C166" s="1" t="s">
        <v>977</v>
      </c>
      <c r="D166" s="1" t="s">
        <v>303</v>
      </c>
      <c r="E166" s="1" t="s">
        <v>948</v>
      </c>
      <c r="F166" s="16" t="s">
        <v>703</v>
      </c>
    </row>
    <row r="167" spans="1:6" ht="24.95" customHeight="1">
      <c r="A167" s="39" t="s">
        <v>1211</v>
      </c>
      <c r="B167" s="1">
        <f t="shared" si="5"/>
        <v>760</v>
      </c>
      <c r="C167" s="1" t="s">
        <v>978</v>
      </c>
      <c r="D167" s="1" t="s">
        <v>307</v>
      </c>
      <c r="E167" s="1" t="s">
        <v>949</v>
      </c>
      <c r="F167" s="16" t="s">
        <v>703</v>
      </c>
    </row>
    <row r="168" spans="1:6" ht="24.95" customHeight="1">
      <c r="A168" s="39" t="s">
        <v>1211</v>
      </c>
      <c r="B168" s="1">
        <f t="shared" si="5"/>
        <v>764</v>
      </c>
      <c r="C168" s="1" t="s">
        <v>979</v>
      </c>
      <c r="D168" s="1" t="s">
        <v>311</v>
      </c>
      <c r="E168" s="1" t="s">
        <v>950</v>
      </c>
      <c r="F168" s="16" t="s">
        <v>703</v>
      </c>
    </row>
    <row r="169" spans="1:6" ht="24.95" customHeight="1">
      <c r="A169" s="39" t="s">
        <v>1211</v>
      </c>
      <c r="B169" s="1">
        <f t="shared" si="5"/>
        <v>768</v>
      </c>
      <c r="C169" s="1" t="s">
        <v>980</v>
      </c>
      <c r="D169" s="1" t="s">
        <v>314</v>
      </c>
      <c r="E169" s="1" t="s">
        <v>951</v>
      </c>
      <c r="F169" s="16" t="s">
        <v>703</v>
      </c>
    </row>
    <row r="170" spans="1:6" ht="24.95" customHeight="1">
      <c r="A170" s="39" t="s">
        <v>1211</v>
      </c>
      <c r="B170" s="1">
        <f t="shared" si="5"/>
        <v>772</v>
      </c>
      <c r="C170" s="1" t="s">
        <v>981</v>
      </c>
      <c r="D170" s="1" t="s">
        <v>317</v>
      </c>
      <c r="E170" s="1" t="s">
        <v>952</v>
      </c>
      <c r="F170" s="16" t="s">
        <v>703</v>
      </c>
    </row>
    <row r="171" spans="1:6" ht="24.95" customHeight="1">
      <c r="A171" s="39" t="s">
        <v>1211</v>
      </c>
      <c r="B171" s="1">
        <f t="shared" si="5"/>
        <v>776</v>
      </c>
      <c r="C171" s="1" t="s">
        <v>982</v>
      </c>
      <c r="D171" s="1" t="s">
        <v>320</v>
      </c>
      <c r="E171" s="1" t="s">
        <v>953</v>
      </c>
      <c r="F171" s="16" t="s">
        <v>703</v>
      </c>
    </row>
    <row r="172" spans="1:6" ht="24.95" customHeight="1">
      <c r="A172" s="39" t="s">
        <v>1211</v>
      </c>
      <c r="B172" s="1">
        <f t="shared" si="5"/>
        <v>780</v>
      </c>
      <c r="C172" s="1" t="s">
        <v>983</v>
      </c>
      <c r="D172" s="7" t="s">
        <v>322</v>
      </c>
      <c r="E172" s="1" t="s">
        <v>1185</v>
      </c>
      <c r="F172" s="16" t="s">
        <v>703</v>
      </c>
    </row>
    <row r="173" spans="1:6" ht="24.95" customHeight="1">
      <c r="A173" s="39" t="s">
        <v>1211</v>
      </c>
      <c r="B173" s="1">
        <f t="shared" si="5"/>
        <v>784</v>
      </c>
      <c r="C173" s="1" t="s">
        <v>984</v>
      </c>
      <c r="D173" s="1" t="s">
        <v>324</v>
      </c>
      <c r="E173" s="1" t="s">
        <v>1186</v>
      </c>
      <c r="F173" s="16" t="s">
        <v>703</v>
      </c>
    </row>
    <row r="174" spans="1:6" ht="24.95" customHeight="1">
      <c r="A174" s="39" t="s">
        <v>1211</v>
      </c>
      <c r="B174" s="1">
        <f t="shared" si="5"/>
        <v>788</v>
      </c>
      <c r="C174" s="1" t="s">
        <v>985</v>
      </c>
      <c r="D174" s="1" t="s">
        <v>327</v>
      </c>
      <c r="E174" s="1" t="s">
        <v>954</v>
      </c>
      <c r="F174" s="16" t="s">
        <v>703</v>
      </c>
    </row>
    <row r="175" spans="1:6" ht="24.95" customHeight="1">
      <c r="A175" s="39" t="s">
        <v>1211</v>
      </c>
      <c r="B175" s="1">
        <f t="shared" si="5"/>
        <v>792</v>
      </c>
      <c r="C175" s="1" t="s">
        <v>986</v>
      </c>
      <c r="D175" s="1" t="s">
        <v>331</v>
      </c>
      <c r="E175" s="1" t="s">
        <v>955</v>
      </c>
      <c r="F175" s="16" t="s">
        <v>703</v>
      </c>
    </row>
    <row r="176" spans="1:6" ht="24.95" customHeight="1">
      <c r="A176" s="39" t="s">
        <v>1211</v>
      </c>
      <c r="B176" s="1">
        <f t="shared" si="5"/>
        <v>796</v>
      </c>
      <c r="C176" s="1" t="s">
        <v>987</v>
      </c>
      <c r="D176" s="1" t="s">
        <v>335</v>
      </c>
      <c r="E176" s="1" t="s">
        <v>956</v>
      </c>
      <c r="F176" s="16" t="s">
        <v>703</v>
      </c>
    </row>
    <row r="177" spans="1:6" ht="24.95" customHeight="1">
      <c r="A177" s="39" t="s">
        <v>1211</v>
      </c>
      <c r="B177" s="1">
        <f t="shared" si="5"/>
        <v>800</v>
      </c>
      <c r="C177" s="1" t="s">
        <v>988</v>
      </c>
      <c r="D177" s="1" t="s">
        <v>339</v>
      </c>
      <c r="E177" s="1" t="s">
        <v>957</v>
      </c>
      <c r="F177" s="16" t="s">
        <v>703</v>
      </c>
    </row>
    <row r="178" spans="1:6" ht="24.95" customHeight="1">
      <c r="A178" s="39" t="s">
        <v>1211</v>
      </c>
      <c r="B178" s="1">
        <f t="shared" si="5"/>
        <v>804</v>
      </c>
      <c r="C178" s="1" t="s">
        <v>989</v>
      </c>
      <c r="D178" s="1" t="s">
        <v>343</v>
      </c>
      <c r="E178" s="1" t="s">
        <v>958</v>
      </c>
      <c r="F178" s="16" t="s">
        <v>703</v>
      </c>
    </row>
    <row r="179" spans="1:6" ht="24.95" customHeight="1">
      <c r="A179" s="39" t="s">
        <v>1211</v>
      </c>
      <c r="B179" s="1">
        <f t="shared" si="5"/>
        <v>808</v>
      </c>
      <c r="C179" s="1" t="s">
        <v>990</v>
      </c>
      <c r="D179" s="1" t="s">
        <v>346</v>
      </c>
      <c r="E179" s="1" t="s">
        <v>959</v>
      </c>
      <c r="F179" s="16" t="s">
        <v>703</v>
      </c>
    </row>
    <row r="180" spans="1:6" ht="24.95" customHeight="1">
      <c r="A180" s="39" t="s">
        <v>1211</v>
      </c>
      <c r="B180" s="1">
        <f t="shared" si="5"/>
        <v>812</v>
      </c>
      <c r="C180" s="1" t="s">
        <v>991</v>
      </c>
      <c r="D180" s="7" t="s">
        <v>349</v>
      </c>
      <c r="E180" s="1" t="s">
        <v>960</v>
      </c>
      <c r="F180" s="16" t="s">
        <v>703</v>
      </c>
    </row>
    <row r="181" spans="1:6" ht="24.95" customHeight="1">
      <c r="A181" s="39" t="s">
        <v>1211</v>
      </c>
      <c r="B181" s="1">
        <f t="shared" si="5"/>
        <v>816</v>
      </c>
      <c r="C181" s="1" t="s">
        <v>992</v>
      </c>
      <c r="D181" s="1" t="s">
        <v>352</v>
      </c>
      <c r="E181" s="1" t="s">
        <v>961</v>
      </c>
      <c r="F181" s="16" t="s">
        <v>703</v>
      </c>
    </row>
    <row r="182" spans="1:6" ht="24.95" customHeight="1">
      <c r="A182" s="39" t="s">
        <v>1211</v>
      </c>
      <c r="B182" s="1">
        <f t="shared" si="5"/>
        <v>820</v>
      </c>
      <c r="C182" s="1" t="s">
        <v>993</v>
      </c>
      <c r="D182" s="1" t="s">
        <v>355</v>
      </c>
      <c r="E182" s="1" t="s">
        <v>962</v>
      </c>
      <c r="F182" s="16" t="s">
        <v>703</v>
      </c>
    </row>
    <row r="183" spans="1:6" ht="24.95" customHeight="1">
      <c r="A183" s="39" t="s">
        <v>1211</v>
      </c>
      <c r="B183" s="1">
        <f t="shared" si="5"/>
        <v>824</v>
      </c>
      <c r="C183" s="1" t="s">
        <v>994</v>
      </c>
      <c r="D183" s="1" t="s">
        <v>359</v>
      </c>
      <c r="E183" s="1" t="s">
        <v>476</v>
      </c>
      <c r="F183" s="16" t="s">
        <v>703</v>
      </c>
    </row>
    <row r="184" spans="1:6" ht="24.95" customHeight="1">
      <c r="A184" s="39" t="s">
        <v>1211</v>
      </c>
      <c r="B184" s="1">
        <f t="shared" si="5"/>
        <v>828</v>
      </c>
      <c r="C184" s="1" t="s">
        <v>995</v>
      </c>
      <c r="D184" s="1" t="s">
        <v>361</v>
      </c>
      <c r="E184" s="1" t="s">
        <v>477</v>
      </c>
      <c r="F184" s="16" t="s">
        <v>703</v>
      </c>
    </row>
    <row r="185" spans="1:6" ht="24.95" customHeight="1">
      <c r="A185" s="39" t="s">
        <v>1211</v>
      </c>
      <c r="B185" s="1">
        <f t="shared" si="5"/>
        <v>832</v>
      </c>
      <c r="C185" s="1" t="s">
        <v>996</v>
      </c>
      <c r="D185" s="1" t="s">
        <v>363</v>
      </c>
      <c r="E185" s="1" t="s">
        <v>478</v>
      </c>
      <c r="F185" s="16" t="s">
        <v>703</v>
      </c>
    </row>
    <row r="186" spans="1:6" ht="24.95" customHeight="1">
      <c r="A186" s="39" t="s">
        <v>1211</v>
      </c>
      <c r="B186" s="1">
        <f t="shared" si="5"/>
        <v>836</v>
      </c>
      <c r="C186" s="1" t="s">
        <v>997</v>
      </c>
      <c r="D186" s="1" t="s">
        <v>365</v>
      </c>
      <c r="E186" s="1" t="s">
        <v>479</v>
      </c>
      <c r="F186" s="16" t="s">
        <v>703</v>
      </c>
    </row>
    <row r="187" spans="1:6" ht="24.95" customHeight="1">
      <c r="A187" s="39" t="s">
        <v>1211</v>
      </c>
      <c r="B187" s="1">
        <f t="shared" si="5"/>
        <v>840</v>
      </c>
      <c r="C187" s="1" t="s">
        <v>998</v>
      </c>
      <c r="D187" s="1" t="s">
        <v>367</v>
      </c>
      <c r="E187" s="1" t="s">
        <v>480</v>
      </c>
      <c r="F187" s="16" t="s">
        <v>703</v>
      </c>
    </row>
    <row r="188" spans="1:6" ht="24.95" customHeight="1">
      <c r="A188" s="39" t="s">
        <v>1211</v>
      </c>
      <c r="B188" s="1">
        <f t="shared" si="5"/>
        <v>844</v>
      </c>
      <c r="C188" s="1" t="s">
        <v>999</v>
      </c>
      <c r="D188" s="7" t="s">
        <v>369</v>
      </c>
      <c r="E188" s="1" t="s">
        <v>481</v>
      </c>
      <c r="F188" s="16" t="s">
        <v>703</v>
      </c>
    </row>
    <row r="189" spans="1:6" ht="24.95" customHeight="1">
      <c r="A189" s="39" t="s">
        <v>1211</v>
      </c>
      <c r="B189" s="1">
        <f t="shared" si="5"/>
        <v>848</v>
      </c>
      <c r="C189" s="1" t="s">
        <v>1000</v>
      </c>
      <c r="D189" s="1" t="s">
        <v>371</v>
      </c>
      <c r="E189" s="1" t="s">
        <v>482</v>
      </c>
      <c r="F189" s="16" t="s">
        <v>703</v>
      </c>
    </row>
    <row r="190" spans="1:6" ht="24.95" customHeight="1">
      <c r="A190" s="39" t="s">
        <v>1211</v>
      </c>
      <c r="B190" s="1">
        <f t="shared" si="5"/>
        <v>852</v>
      </c>
      <c r="C190" s="1" t="s">
        <v>1001</v>
      </c>
      <c r="D190" s="1" t="s">
        <v>372</v>
      </c>
      <c r="E190" s="1" t="s">
        <v>483</v>
      </c>
      <c r="F190" s="16" t="s">
        <v>703</v>
      </c>
    </row>
    <row r="191" spans="1:6" ht="24.95" customHeight="1">
      <c r="A191" s="39" t="s">
        <v>1211</v>
      </c>
      <c r="B191" s="1">
        <f t="shared" si="5"/>
        <v>856</v>
      </c>
      <c r="C191" s="1" t="s">
        <v>1002</v>
      </c>
      <c r="D191" s="1" t="s">
        <v>374</v>
      </c>
      <c r="E191" s="1" t="s">
        <v>484</v>
      </c>
      <c r="F191" s="16" t="s">
        <v>703</v>
      </c>
    </row>
    <row r="192" spans="1:6" ht="24.95" customHeight="1">
      <c r="A192" s="39" t="s">
        <v>1211</v>
      </c>
      <c r="B192" s="1">
        <f t="shared" si="5"/>
        <v>860</v>
      </c>
      <c r="C192" s="1" t="s">
        <v>1187</v>
      </c>
      <c r="D192" s="1" t="s">
        <v>376</v>
      </c>
      <c r="E192" s="1" t="s">
        <v>1004</v>
      </c>
      <c r="F192" s="16" t="s">
        <v>703</v>
      </c>
    </row>
    <row r="193" spans="1:6" ht="24.95" customHeight="1">
      <c r="A193" s="39" t="s">
        <v>1211</v>
      </c>
      <c r="B193" s="1">
        <f t="shared" si="5"/>
        <v>864</v>
      </c>
      <c r="C193" s="1" t="s">
        <v>1188</v>
      </c>
      <c r="D193" s="1" t="s">
        <v>378</v>
      </c>
      <c r="E193" s="1" t="s">
        <v>1003</v>
      </c>
      <c r="F193" s="16" t="s">
        <v>703</v>
      </c>
    </row>
    <row r="194" spans="1:6" ht="24.95" customHeight="1">
      <c r="A194" s="39" t="s">
        <v>1211</v>
      </c>
      <c r="B194" s="1">
        <f>VALUE(RIGHT(D194,LEN(D194)-LEN(A194)))</f>
        <v>868</v>
      </c>
      <c r="C194" s="1" t="s">
        <v>1189</v>
      </c>
      <c r="D194" s="1" t="s">
        <v>380</v>
      </c>
      <c r="E194" s="1" t="s">
        <v>1005</v>
      </c>
      <c r="F194" s="16" t="s">
        <v>703</v>
      </c>
    </row>
    <row r="195" spans="1:6" ht="24.95" customHeight="1">
      <c r="A195" s="39" t="s">
        <v>1211</v>
      </c>
      <c r="B195" s="1">
        <f>VALUE(RIGHT(D195,LEN(D195)-LEN(A195)))</f>
        <v>872</v>
      </c>
      <c r="C195" s="1" t="s">
        <v>1190</v>
      </c>
      <c r="D195" s="1" t="s">
        <v>382</v>
      </c>
      <c r="E195" s="1" t="s">
        <v>1006</v>
      </c>
      <c r="F195" s="16" t="s">
        <v>703</v>
      </c>
    </row>
    <row r="196" spans="1:6" ht="24.95" customHeight="1">
      <c r="A196" s="39" t="s">
        <v>1211</v>
      </c>
      <c r="B196" s="1">
        <f>VALUE(RIGHT(D196,LEN(D196)-LEN(A196)))</f>
        <v>876</v>
      </c>
      <c r="C196" s="1" t="s">
        <v>1191</v>
      </c>
      <c r="D196" s="1" t="s">
        <v>384</v>
      </c>
      <c r="E196" s="1" t="s">
        <v>1007</v>
      </c>
      <c r="F196" s="16" t="s">
        <v>703</v>
      </c>
    </row>
    <row r="197" spans="1:6" ht="24.95" customHeight="1">
      <c r="A197" s="39" t="s">
        <v>1211</v>
      </c>
      <c r="B197" s="1">
        <f>VALUE(RIGHT(D197,LEN(D197)-LEN(A197)))</f>
        <v>880</v>
      </c>
      <c r="C197" s="1" t="s">
        <v>1192</v>
      </c>
      <c r="D197" s="7" t="s">
        <v>229</v>
      </c>
      <c r="E197" s="1" t="s">
        <v>1008</v>
      </c>
      <c r="F197" s="16" t="s">
        <v>703</v>
      </c>
    </row>
    <row r="198" spans="1:6" ht="24.95" customHeight="1">
      <c r="A198" s="39" t="s">
        <v>1212</v>
      </c>
      <c r="B198" s="1">
        <f>VALUE(RIGHT(D198,LEN(D198)-LEN(A198)))</f>
        <v>898</v>
      </c>
      <c r="C198" s="1" t="s">
        <v>1203</v>
      </c>
      <c r="D198" s="1" t="s">
        <v>1204</v>
      </c>
      <c r="E198" s="5" t="s">
        <v>1205</v>
      </c>
      <c r="F198" s="16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56" style="4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40" t="s">
        <v>523</v>
      </c>
      <c r="F1" s="20" t="s">
        <v>697</v>
      </c>
    </row>
    <row r="2" spans="1:6" ht="24.95" customHeight="1">
      <c r="A2" s="5" t="str">
        <f t="array" ref="A2">LEFT(D2, MIN(FIND({0,1,2,3,4,5,6,7,8,9}, D2 &amp; "0123456789")) - 1)</f>
        <v>AIW</v>
      </c>
      <c r="B2" s="1">
        <f t="shared" ref="B2:B65" si="0">VALUE(RIGHT(D2,LEN(D2)-LEN(A2)))</f>
        <v>18</v>
      </c>
      <c r="C2" s="1" t="s">
        <v>1450</v>
      </c>
      <c r="D2" s="1" t="s">
        <v>1451</v>
      </c>
      <c r="E2" s="26" t="s">
        <v>1452</v>
      </c>
      <c r="F2" s="1"/>
    </row>
    <row r="3" spans="1:6" ht="24.95" customHeight="1">
      <c r="A3" s="5" t="str">
        <f t="array" ref="A3">LEFT(D3, MIN(FIND({0,1,2,3,4,5,6,7,8,9}, D3 &amp; "0123456789")) - 1)</f>
        <v>AIW</v>
      </c>
      <c r="B3" s="1">
        <f t="shared" si="0"/>
        <v>20</v>
      </c>
      <c r="C3" s="1" t="s">
        <v>1453</v>
      </c>
      <c r="D3" s="1" t="s">
        <v>1454</v>
      </c>
      <c r="E3" s="26" t="s">
        <v>1455</v>
      </c>
      <c r="F3" s="1"/>
    </row>
    <row r="4" spans="1:6" ht="24.95" customHeight="1">
      <c r="A4" s="5" t="str">
        <f t="array" ref="A4">LEFT(D4, MIN(FIND({0,1,2,3,4,5,6,7,8,9}, D4 &amp; "0123456789")) - 1)</f>
        <v>AQW</v>
      </c>
      <c r="B4" s="1">
        <f t="shared" si="0"/>
        <v>16</v>
      </c>
      <c r="C4" s="1" t="s">
        <v>1444</v>
      </c>
      <c r="D4" s="1" t="s">
        <v>1445</v>
      </c>
      <c r="E4" s="26" t="s">
        <v>1446</v>
      </c>
      <c r="F4" s="1"/>
    </row>
    <row r="5" spans="1:6" ht="24.95" customHeight="1">
      <c r="A5" s="5" t="str">
        <f t="array" ref="A5">LEFT(D5, MIN(FIND({0,1,2,3,4,5,6,7,8,9}, D5 &amp; "0123456789")) - 1)</f>
        <v>AQW</v>
      </c>
      <c r="B5" s="1">
        <f t="shared" si="0"/>
        <v>18</v>
      </c>
      <c r="C5" s="1" t="s">
        <v>1447</v>
      </c>
      <c r="D5" s="1" t="s">
        <v>1448</v>
      </c>
      <c r="E5" s="26" t="s">
        <v>1449</v>
      </c>
      <c r="F5" s="1"/>
    </row>
    <row r="6" spans="1:6" ht="24.95" customHeight="1">
      <c r="A6" s="5" t="str">
        <f t="array" ref="A6">LEFT(D6, MIN(FIND({0,1,2,3,4,5,6,7,8,9}, D6 &amp; "0123456789")) - 1)</f>
        <v>C</v>
      </c>
      <c r="B6" s="1">
        <f t="shared" si="0"/>
        <v>0</v>
      </c>
      <c r="C6" s="6" t="s">
        <v>1035</v>
      </c>
      <c r="D6" s="7" t="s">
        <v>720</v>
      </c>
      <c r="E6" s="26" t="s">
        <v>721</v>
      </c>
      <c r="F6" s="1"/>
    </row>
    <row r="7" spans="1:6" ht="24.95" customHeight="1">
      <c r="A7" s="5" t="str">
        <f t="array" ref="A7">LEFT(D7, MIN(FIND({0,1,2,3,4,5,6,7,8,9}, D7 &amp; "0123456789")) - 1)</f>
        <v>C</v>
      </c>
      <c r="B7" s="1">
        <f t="shared" si="0"/>
        <v>1</v>
      </c>
      <c r="C7" s="1" t="s">
        <v>1036</v>
      </c>
      <c r="D7" s="7" t="s">
        <v>723</v>
      </c>
      <c r="E7" s="26" t="s">
        <v>724</v>
      </c>
      <c r="F7" s="16"/>
    </row>
    <row r="8" spans="1:6" ht="24.95" customHeight="1">
      <c r="A8" s="5" t="str">
        <f t="array" ref="A8">LEFT(D8, MIN(FIND({0,1,2,3,4,5,6,7,8,9}, D8 &amp; "0123456789")) - 1)</f>
        <v>C</v>
      </c>
      <c r="B8" s="1">
        <f t="shared" si="0"/>
        <v>2</v>
      </c>
      <c r="C8" s="1" t="s">
        <v>1037</v>
      </c>
      <c r="D8" s="1" t="s">
        <v>726</v>
      </c>
      <c r="E8" s="26" t="s">
        <v>727</v>
      </c>
      <c r="F8" s="16"/>
    </row>
    <row r="9" spans="1:6" ht="24.95" customHeight="1">
      <c r="A9" s="5" t="str">
        <f t="array" ref="A9">LEFT(D9, MIN(FIND({0,1,2,3,4,5,6,7,8,9}, D9 &amp; "0123456789")) - 1)</f>
        <v>C</v>
      </c>
      <c r="B9" s="1">
        <f t="shared" si="0"/>
        <v>3</v>
      </c>
      <c r="C9" s="1" t="s">
        <v>1038</v>
      </c>
      <c r="D9" s="7" t="s">
        <v>729</v>
      </c>
      <c r="E9" s="26" t="s">
        <v>730</v>
      </c>
      <c r="F9" s="16"/>
    </row>
    <row r="10" spans="1:6" ht="24.95" customHeight="1">
      <c r="A10" s="5" t="str">
        <f t="array" ref="A10">LEFT(D10, MIN(FIND({0,1,2,3,4,5,6,7,8,9}, D10 &amp; "0123456789")) - 1)</f>
        <v>C</v>
      </c>
      <c r="B10" s="1">
        <f t="shared" si="0"/>
        <v>4</v>
      </c>
      <c r="C10" s="6" t="s">
        <v>1039</v>
      </c>
      <c r="D10" s="1" t="s">
        <v>732</v>
      </c>
      <c r="E10" s="26" t="s">
        <v>733</v>
      </c>
      <c r="F10" s="16"/>
    </row>
    <row r="11" spans="1:6" ht="24.95" customHeight="1">
      <c r="A11" s="5" t="str">
        <f t="array" ref="A11">LEFT(D11, MIN(FIND({0,1,2,3,4,5,6,7,8,9}, D11 &amp; "0123456789")) - 1)</f>
        <v>C</v>
      </c>
      <c r="B11" s="1">
        <f t="shared" si="0"/>
        <v>5</v>
      </c>
      <c r="C11" s="1" t="s">
        <v>1040</v>
      </c>
      <c r="D11" s="1" t="s">
        <v>735</v>
      </c>
      <c r="E11" s="26" t="s">
        <v>736</v>
      </c>
      <c r="F11" s="16"/>
    </row>
    <row r="12" spans="1:6" ht="24.95" customHeight="1">
      <c r="A12" s="5" t="str">
        <f t="array" ref="A12">LEFT(D12, MIN(FIND({0,1,2,3,4,5,6,7,8,9}, D12 &amp; "0123456789")) - 1)</f>
        <v>C</v>
      </c>
      <c r="B12" s="1">
        <f t="shared" si="0"/>
        <v>100</v>
      </c>
      <c r="C12" s="8" t="s">
        <v>737</v>
      </c>
      <c r="D12" s="1" t="s">
        <v>738</v>
      </c>
      <c r="E12" s="26" t="s">
        <v>739</v>
      </c>
      <c r="F12" s="16"/>
    </row>
    <row r="13" spans="1:6" ht="24.95" customHeight="1">
      <c r="A13" s="5" t="str">
        <f t="array" ref="A13">LEFT(D13, MIN(FIND({0,1,2,3,4,5,6,7,8,9}, D13 &amp; "0123456789")) - 1)</f>
        <v>C</v>
      </c>
      <c r="B13" s="1">
        <f t="shared" si="0"/>
        <v>101</v>
      </c>
      <c r="C13" s="1" t="s">
        <v>740</v>
      </c>
      <c r="D13" s="1" t="s">
        <v>741</v>
      </c>
      <c r="E13" s="26" t="s">
        <v>742</v>
      </c>
      <c r="F13" s="16"/>
    </row>
    <row r="14" spans="1:6" ht="24.95" customHeight="1">
      <c r="A14" s="5" t="str">
        <f t="array" ref="A14">LEFT(D14, MIN(FIND({0,1,2,3,4,5,6,7,8,9}, D14 &amp; "0123456789")) - 1)</f>
        <v>C</v>
      </c>
      <c r="B14" s="1">
        <f t="shared" si="0"/>
        <v>102</v>
      </c>
      <c r="C14" s="1" t="s">
        <v>743</v>
      </c>
      <c r="D14" s="1" t="s">
        <v>744</v>
      </c>
      <c r="E14" s="26" t="s">
        <v>745</v>
      </c>
      <c r="F14" s="16"/>
    </row>
    <row r="15" spans="1:6" ht="24.95" customHeight="1">
      <c r="A15" s="5" t="str">
        <f t="array" ref="A15">LEFT(D15, MIN(FIND({0,1,2,3,4,5,6,7,8,9}, D15 &amp; "0123456789")) - 1)</f>
        <v>M</v>
      </c>
      <c r="B15" s="1">
        <f t="shared" si="0"/>
        <v>0.1</v>
      </c>
      <c r="C15" s="1" t="s">
        <v>746</v>
      </c>
      <c r="D15" s="1" t="s">
        <v>33</v>
      </c>
      <c r="E15" s="26" t="s">
        <v>747</v>
      </c>
      <c r="F15" s="16"/>
    </row>
    <row r="16" spans="1:6" ht="24.95" customHeight="1">
      <c r="A16" s="5" t="str">
        <f t="array" ref="A16">LEFT(D16, MIN(FIND({0,1,2,3,4,5,6,7,8,9}, D16 &amp; "0123456789")) - 1)</f>
        <v>M</v>
      </c>
      <c r="B16" s="1">
        <f t="shared" si="0"/>
        <v>0.2</v>
      </c>
      <c r="C16" s="1" t="s">
        <v>748</v>
      </c>
      <c r="D16" s="1" t="s">
        <v>48</v>
      </c>
      <c r="E16" s="26" t="s">
        <v>749</v>
      </c>
      <c r="F16" s="16"/>
    </row>
    <row r="17" spans="1:6" ht="24.95" customHeight="1">
      <c r="A17" s="5" t="str">
        <f t="array" ref="A17">LEFT(D17, MIN(FIND({0,1,2,3,4,5,6,7,8,9}, D17 &amp; "0123456789")) - 1)</f>
        <v>M</v>
      </c>
      <c r="B17" s="1">
        <f t="shared" si="0"/>
        <v>0.3</v>
      </c>
      <c r="C17" s="1" t="s">
        <v>764</v>
      </c>
      <c r="D17" s="1" t="s">
        <v>60</v>
      </c>
      <c r="E17" s="26" t="s">
        <v>766</v>
      </c>
      <c r="F17" s="16"/>
    </row>
    <row r="18" spans="1:6" ht="24.95" customHeight="1">
      <c r="A18" s="5" t="str">
        <f t="array" ref="A18">LEFT(D18, MIN(FIND({0,1,2,3,4,5,6,7,8,9}, D18 &amp; "0123456789")) - 1)</f>
        <v>M</v>
      </c>
      <c r="B18" s="1">
        <f t="shared" si="0"/>
        <v>0.4</v>
      </c>
      <c r="C18" s="1" t="s">
        <v>841</v>
      </c>
      <c r="D18" s="1" t="s">
        <v>70</v>
      </c>
      <c r="E18" s="26" t="s">
        <v>842</v>
      </c>
      <c r="F18" s="16"/>
    </row>
    <row r="19" spans="1:6" ht="24.95" customHeight="1">
      <c r="A19" s="5" t="str">
        <f t="array" ref="A19">LEFT(D19, MIN(FIND({0,1,2,3,4,5,6,7,8,9}, D19 &amp; "0123456789")) - 1)</f>
        <v>M</v>
      </c>
      <c r="B19" s="1">
        <f t="shared" si="0"/>
        <v>0.5</v>
      </c>
      <c r="C19" s="1" t="s">
        <v>843</v>
      </c>
      <c r="D19" s="1" t="s">
        <v>79</v>
      </c>
      <c r="E19" s="26" t="s">
        <v>845</v>
      </c>
      <c r="F19" s="16"/>
    </row>
    <row r="20" spans="1:6" ht="24.95" customHeight="1">
      <c r="A20" s="5" t="str">
        <f t="array" ref="A20">LEFT(D20, MIN(FIND({0,1,2,3,4,5,6,7,8,9}, D20 &amp; "0123456789")) - 1)</f>
        <v>M</v>
      </c>
      <c r="B20" s="1">
        <f t="shared" si="0"/>
        <v>0.6</v>
      </c>
      <c r="C20" s="1" t="s">
        <v>1052</v>
      </c>
      <c r="D20" s="7" t="s">
        <v>90</v>
      </c>
      <c r="E20" s="26" t="s">
        <v>1053</v>
      </c>
      <c r="F20" s="16"/>
    </row>
    <row r="21" spans="1:6" ht="24.95" customHeight="1">
      <c r="A21" s="5" t="str">
        <f t="array" ref="A21">LEFT(D21, MIN(FIND({0,1,2,3,4,5,6,7,8,9}, D21 &amp; "0123456789")) - 1)</f>
        <v>M</v>
      </c>
      <c r="B21" s="1">
        <f t="shared" si="0"/>
        <v>0.7</v>
      </c>
      <c r="C21" s="6" t="s">
        <v>1054</v>
      </c>
      <c r="D21" s="1" t="s">
        <v>98</v>
      </c>
      <c r="E21" s="26" t="s">
        <v>1055</v>
      </c>
      <c r="F21" s="16"/>
    </row>
    <row r="22" spans="1:6" ht="24.95" customHeight="1">
      <c r="A22" s="5" t="str">
        <f t="array" ref="A22">LEFT(D22, MIN(FIND({0,1,2,3,4,5,6,7,8,9}, D22 &amp; "0123456789")) - 1)</f>
        <v>M</v>
      </c>
      <c r="B22" s="1">
        <f t="shared" si="0"/>
        <v>1</v>
      </c>
      <c r="C22" s="1" t="s">
        <v>1056</v>
      </c>
      <c r="D22" s="1" t="s">
        <v>1288</v>
      </c>
      <c r="E22" s="26" t="s">
        <v>1058</v>
      </c>
      <c r="F22" s="16"/>
    </row>
    <row r="23" spans="1:6" ht="24.95" customHeight="1">
      <c r="A23" s="5" t="str">
        <f t="array" ref="A23">LEFT(D23, MIN(FIND({0,1,2,3,4,5,6,7,8,9}, D23 &amp; "0123456789")) - 1)</f>
        <v>M</v>
      </c>
      <c r="B23" s="1">
        <f t="shared" si="0"/>
        <v>1.1000000000000001</v>
      </c>
      <c r="C23" s="1" t="s">
        <v>1059</v>
      </c>
      <c r="D23" s="1" t="s">
        <v>111</v>
      </c>
      <c r="E23" s="26" t="s">
        <v>1060</v>
      </c>
      <c r="F23" s="16"/>
    </row>
    <row r="24" spans="1:6" ht="24.95" customHeight="1">
      <c r="A24" s="5" t="str">
        <f t="array" ref="A24">LEFT(D24, MIN(FIND({0,1,2,3,4,5,6,7,8,9}, D24 &amp; "0123456789")) - 1)</f>
        <v>M</v>
      </c>
      <c r="B24" s="1">
        <f t="shared" si="0"/>
        <v>1.2</v>
      </c>
      <c r="C24" s="1" t="s">
        <v>1061</v>
      </c>
      <c r="D24" s="1" t="s">
        <v>116</v>
      </c>
      <c r="E24" s="26" t="s">
        <v>1062</v>
      </c>
      <c r="F24" s="16"/>
    </row>
    <row r="25" spans="1:6" ht="24.95" customHeight="1">
      <c r="A25" s="5" t="str">
        <f t="array" ref="A25">LEFT(D25, MIN(FIND({0,1,2,3,4,5,6,7,8,9}, D25 &amp; "0123456789")) - 1)</f>
        <v>M</v>
      </c>
      <c r="B25" s="1">
        <f t="shared" si="0"/>
        <v>1.3</v>
      </c>
      <c r="C25" s="1" t="s">
        <v>1063</v>
      </c>
      <c r="D25" s="1" t="s">
        <v>122</v>
      </c>
      <c r="E25" s="26" t="s">
        <v>1064</v>
      </c>
      <c r="F25" s="16"/>
    </row>
    <row r="26" spans="1:6" ht="24.95" customHeight="1">
      <c r="A26" s="5" t="str">
        <f t="array" ref="A26">LEFT(D26, MIN(FIND({0,1,2,3,4,5,6,7,8,9}, D26 &amp; "0123456789")) - 1)</f>
        <v>M</v>
      </c>
      <c r="B26" s="1">
        <f t="shared" si="0"/>
        <v>1.4</v>
      </c>
      <c r="C26" s="1" t="s">
        <v>1065</v>
      </c>
      <c r="D26" s="1" t="s">
        <v>126</v>
      </c>
      <c r="E26" s="26" t="s">
        <v>1066</v>
      </c>
      <c r="F26" s="16"/>
    </row>
    <row r="27" spans="1:6" ht="24.95" customHeight="1">
      <c r="A27" s="5" t="str">
        <f t="array" ref="A27">LEFT(D27, MIN(FIND({0,1,2,3,4,5,6,7,8,9}, D27 &amp; "0123456789")) - 1)</f>
        <v>M</v>
      </c>
      <c r="B27" s="1">
        <f t="shared" si="0"/>
        <v>1.5</v>
      </c>
      <c r="C27" s="1" t="s">
        <v>1289</v>
      </c>
      <c r="D27" s="1" t="s">
        <v>131</v>
      </c>
      <c r="E27" s="26" t="s">
        <v>1290</v>
      </c>
      <c r="F27" s="16"/>
    </row>
    <row r="28" spans="1:6" ht="24.95" customHeight="1">
      <c r="A28" s="5" t="str">
        <f t="array" ref="A28">LEFT(D28, MIN(FIND({0,1,2,3,4,5,6,7,8,9}, D28 &amp; "0123456789")) - 1)</f>
        <v>M</v>
      </c>
      <c r="B28" s="1">
        <f t="shared" si="0"/>
        <v>1.6</v>
      </c>
      <c r="C28" s="1" t="s">
        <v>1083</v>
      </c>
      <c r="D28" s="1" t="s">
        <v>135</v>
      </c>
      <c r="E28" s="26" t="s">
        <v>1085</v>
      </c>
      <c r="F28" s="16"/>
    </row>
    <row r="29" spans="1:6" ht="24.95" customHeight="1">
      <c r="A29" s="5" t="str">
        <f t="array" ref="A29">LEFT(D29, MIN(FIND({0,1,2,3,4,5,6,7,8,9}, D29 &amp; "0123456789")) - 1)</f>
        <v>M</v>
      </c>
      <c r="B29" s="1">
        <f t="shared" si="0"/>
        <v>1.7</v>
      </c>
      <c r="C29" s="1" t="s">
        <v>1086</v>
      </c>
      <c r="D29" s="1" t="s">
        <v>138</v>
      </c>
      <c r="E29" s="26" t="s">
        <v>1087</v>
      </c>
      <c r="F29" s="16"/>
    </row>
    <row r="30" spans="1:6" ht="24.95" customHeight="1">
      <c r="A30" s="5" t="str">
        <f t="array" ref="A30">LEFT(D30, MIN(FIND({0,1,2,3,4,5,6,7,8,9}, D30 &amp; "0123456789")) - 1)</f>
        <v>M</v>
      </c>
      <c r="B30" s="1">
        <f t="shared" si="0"/>
        <v>2</v>
      </c>
      <c r="C30" s="1" t="s">
        <v>1088</v>
      </c>
      <c r="D30" s="1" t="s">
        <v>751</v>
      </c>
      <c r="E30" s="26" t="s">
        <v>1089</v>
      </c>
      <c r="F30" s="16"/>
    </row>
    <row r="31" spans="1:6" ht="24.95" customHeight="1">
      <c r="A31" s="5" t="str">
        <f t="array" ref="A31">LEFT(D31, MIN(FIND({0,1,2,3,4,5,6,7,8,9}, D31 &amp; "0123456789")) - 1)</f>
        <v>M</v>
      </c>
      <c r="B31" s="1">
        <f t="shared" si="0"/>
        <v>2.1</v>
      </c>
      <c r="C31" s="1" t="s">
        <v>1090</v>
      </c>
      <c r="D31" s="1" t="s">
        <v>144</v>
      </c>
      <c r="E31" s="26" t="s">
        <v>1091</v>
      </c>
      <c r="F31" s="16"/>
    </row>
    <row r="32" spans="1:6" ht="24.95" customHeight="1">
      <c r="A32" s="5" t="str">
        <f t="array" ref="A32">LEFT(D32, MIN(FIND({0,1,2,3,4,5,6,7,8,9}, D32 &amp; "0123456789")) - 1)</f>
        <v>M</v>
      </c>
      <c r="B32" s="1">
        <f t="shared" si="0"/>
        <v>2.2000000000000002</v>
      </c>
      <c r="C32" s="1" t="s">
        <v>1092</v>
      </c>
      <c r="D32" s="1" t="s">
        <v>148</v>
      </c>
      <c r="E32" s="26" t="s">
        <v>1094</v>
      </c>
      <c r="F32" s="16"/>
    </row>
    <row r="33" spans="1:6" ht="24.95" customHeight="1">
      <c r="A33" s="5" t="str">
        <f t="array" ref="A33">LEFT(D33, MIN(FIND({0,1,2,3,4,5,6,7,8,9}, D33 &amp; "0123456789")) - 1)</f>
        <v>M</v>
      </c>
      <c r="B33" s="1">
        <f t="shared" si="0"/>
        <v>2.2999999999999998</v>
      </c>
      <c r="C33" s="1" t="s">
        <v>1095</v>
      </c>
      <c r="D33" s="1" t="s">
        <v>151</v>
      </c>
      <c r="E33" s="26" t="s">
        <v>1096</v>
      </c>
      <c r="F33" s="16"/>
    </row>
    <row r="34" spans="1:6" ht="24.95" customHeight="1">
      <c r="A34" s="5" t="str">
        <f t="array" ref="A34">LEFT(D34, MIN(FIND({0,1,2,3,4,5,6,7,8,9}, D34 &amp; "0123456789")) - 1)</f>
        <v>M</v>
      </c>
      <c r="B34" s="1">
        <f t="shared" si="0"/>
        <v>2.4</v>
      </c>
      <c r="C34" s="1" t="s">
        <v>1097</v>
      </c>
      <c r="D34" s="1" t="s">
        <v>154</v>
      </c>
      <c r="E34" s="26" t="s">
        <v>1098</v>
      </c>
      <c r="F34" s="1"/>
    </row>
    <row r="35" spans="1:6" ht="24.95" customHeight="1">
      <c r="A35" s="5" t="str">
        <f t="array" ref="A35">LEFT(D35, MIN(FIND({0,1,2,3,4,5,6,7,8,9}, D35 &amp; "0123456789")) - 1)</f>
        <v>M</v>
      </c>
      <c r="B35" s="1">
        <f t="shared" si="0"/>
        <v>2.5</v>
      </c>
      <c r="C35" s="1" t="s">
        <v>1099</v>
      </c>
      <c r="D35" s="1" t="s">
        <v>157</v>
      </c>
      <c r="E35" s="26" t="s">
        <v>1100</v>
      </c>
      <c r="F35" s="16"/>
    </row>
    <row r="36" spans="1:6" ht="24.95" customHeight="1">
      <c r="A36" s="5" t="str">
        <f t="array" ref="A36">LEFT(D36, MIN(FIND({0,1,2,3,4,5,6,7,8,9}, D36 &amp; "0123456789")) - 1)</f>
        <v>M</v>
      </c>
      <c r="B36" s="1">
        <f t="shared" si="0"/>
        <v>2.6</v>
      </c>
      <c r="C36" s="6" t="s">
        <v>1101</v>
      </c>
      <c r="D36" s="7" t="s">
        <v>161</v>
      </c>
      <c r="E36" s="26" t="s">
        <v>1102</v>
      </c>
      <c r="F36" s="1"/>
    </row>
    <row r="37" spans="1:6" ht="24.95" customHeight="1">
      <c r="A37" s="5" t="str">
        <f t="array" ref="A37">LEFT(D37, MIN(FIND({0,1,2,3,4,5,6,7,8,9}, D37 &amp; "0123456789")) - 1)</f>
        <v>M</v>
      </c>
      <c r="B37" s="1">
        <f t="shared" si="0"/>
        <v>2.7</v>
      </c>
      <c r="C37" s="1" t="s">
        <v>1103</v>
      </c>
      <c r="D37" s="1" t="s">
        <v>165</v>
      </c>
      <c r="E37" s="26" t="s">
        <v>1104</v>
      </c>
      <c r="F37" s="16"/>
    </row>
    <row r="38" spans="1:6" ht="24.95" customHeight="1">
      <c r="A38" s="5" t="str">
        <f t="array" ref="A38">LEFT(D38, MIN(FIND({0,1,2,3,4,5,6,7,8,9}, D38 &amp; "0123456789")) - 1)</f>
        <v>M</v>
      </c>
      <c r="B38" s="1">
        <f t="shared" si="0"/>
        <v>3</v>
      </c>
      <c r="C38" s="1" t="s">
        <v>1105</v>
      </c>
      <c r="D38" s="7" t="s">
        <v>758</v>
      </c>
      <c r="E38" s="26" t="s">
        <v>1291</v>
      </c>
      <c r="F38" s="16"/>
    </row>
    <row r="39" spans="1:6" ht="24.95" customHeight="1">
      <c r="A39" s="5" t="str">
        <f t="array" ref="A39">LEFT(D39, MIN(FIND({0,1,2,3,4,5,6,7,8,9}, D39 &amp; "0123456789")) - 1)</f>
        <v>M</v>
      </c>
      <c r="B39" s="1">
        <f t="shared" si="0"/>
        <v>3.1</v>
      </c>
      <c r="C39" s="1" t="s">
        <v>1292</v>
      </c>
      <c r="D39" s="1" t="s">
        <v>169</v>
      </c>
      <c r="E39" s="26" t="s">
        <v>1293</v>
      </c>
      <c r="F39" s="16"/>
    </row>
    <row r="40" spans="1:6" ht="24.95" customHeight="1">
      <c r="A40" s="5" t="str">
        <f t="array" ref="A40">LEFT(D40, MIN(FIND({0,1,2,3,4,5,6,7,8,9}, D40 &amp; "0123456789")) - 1)</f>
        <v>M</v>
      </c>
      <c r="B40" s="1">
        <f t="shared" si="0"/>
        <v>3.2</v>
      </c>
      <c r="C40" s="1" t="s">
        <v>1294</v>
      </c>
      <c r="D40" s="1" t="s">
        <v>174</v>
      </c>
      <c r="E40" s="26" t="s">
        <v>1295</v>
      </c>
      <c r="F40" s="16"/>
    </row>
    <row r="41" spans="1:6" ht="24.95" customHeight="1">
      <c r="A41" s="5" t="str">
        <f t="array" ref="A41">LEFT(D41, MIN(FIND({0,1,2,3,4,5,6,7,8,9}, D41 &amp; "0123456789")) - 1)</f>
        <v>M</v>
      </c>
      <c r="B41" s="1">
        <f t="shared" si="0"/>
        <v>3.3</v>
      </c>
      <c r="C41" s="1" t="s">
        <v>1296</v>
      </c>
      <c r="D41" s="1" t="s">
        <v>179</v>
      </c>
      <c r="E41" s="26" t="s">
        <v>1297</v>
      </c>
      <c r="F41" s="16"/>
    </row>
    <row r="42" spans="1:6" ht="24.95" customHeight="1">
      <c r="A42" s="5" t="str">
        <f t="array" ref="A42">LEFT(D42, MIN(FIND({0,1,2,3,4,5,6,7,8,9}, D42 &amp; "0123456789")) - 1)</f>
        <v>M</v>
      </c>
      <c r="B42" s="1">
        <f t="shared" si="0"/>
        <v>3.4</v>
      </c>
      <c r="C42" s="8" t="s">
        <v>1298</v>
      </c>
      <c r="D42" s="7" t="s">
        <v>183</v>
      </c>
      <c r="E42" s="26" t="s">
        <v>1299</v>
      </c>
      <c r="F42" s="16"/>
    </row>
    <row r="43" spans="1:6" ht="24.95" customHeight="1">
      <c r="A43" s="5" t="str">
        <f t="array" ref="A43">LEFT(D43, MIN(FIND({0,1,2,3,4,5,6,7,8,9}, D43 &amp; "0123456789")) - 1)</f>
        <v>M</v>
      </c>
      <c r="B43" s="1">
        <f t="shared" si="0"/>
        <v>3.5</v>
      </c>
      <c r="C43" s="1" t="s">
        <v>1300</v>
      </c>
      <c r="D43" s="7" t="s">
        <v>188</v>
      </c>
      <c r="E43" s="26" t="s">
        <v>1301</v>
      </c>
      <c r="F43" s="16"/>
    </row>
    <row r="44" spans="1:6" ht="24.95" customHeight="1">
      <c r="A44" s="5" t="str">
        <f t="array" ref="A44">LEFT(D44, MIN(FIND({0,1,2,3,4,5,6,7,8,9}, D44 &amp; "0123456789")) - 1)</f>
        <v>M</v>
      </c>
      <c r="B44" s="1">
        <f t="shared" si="0"/>
        <v>10</v>
      </c>
      <c r="C44" s="8" t="s">
        <v>750</v>
      </c>
      <c r="D44" s="1" t="s">
        <v>1302</v>
      </c>
      <c r="E44" s="26" t="s">
        <v>752</v>
      </c>
      <c r="F44" s="16"/>
    </row>
    <row r="45" spans="1:6" ht="24.95" customHeight="1">
      <c r="A45" s="5" t="str">
        <f t="array" ref="A45">LEFT(D45, MIN(FIND({0,1,2,3,4,5,6,7,8,9}, D45 &amp; "0123456789")) - 1)</f>
        <v>M</v>
      </c>
      <c r="B45" s="1">
        <f t="shared" si="0"/>
        <v>10.1</v>
      </c>
      <c r="C45" s="1" t="s">
        <v>753</v>
      </c>
      <c r="D45" s="1" t="s">
        <v>356</v>
      </c>
      <c r="E45" s="26" t="s">
        <v>754</v>
      </c>
      <c r="F45" s="16"/>
    </row>
    <row r="46" spans="1:6" ht="24.95" customHeight="1">
      <c r="A46" s="5" t="str">
        <f t="array" ref="A46">LEFT(D46, MIN(FIND({0,1,2,3,4,5,6,7,8,9}, D46 &amp; "0123456789")) - 1)</f>
        <v>M</v>
      </c>
      <c r="B46" s="1">
        <f t="shared" si="0"/>
        <v>10.199999999999999</v>
      </c>
      <c r="C46" s="8" t="s">
        <v>755</v>
      </c>
      <c r="D46" s="1" t="s">
        <v>360</v>
      </c>
      <c r="E46" s="26" t="s">
        <v>756</v>
      </c>
      <c r="F46" s="16"/>
    </row>
    <row r="47" spans="1:6" ht="24.95" customHeight="1">
      <c r="A47" s="5" t="str">
        <f t="array" ref="A47">LEFT(D47, MIN(FIND({0,1,2,3,4,5,6,7,8,9}, D47 &amp; "0123456789")) - 1)</f>
        <v>M</v>
      </c>
      <c r="B47" s="1">
        <f t="shared" si="0"/>
        <v>10.3</v>
      </c>
      <c r="C47" s="1" t="s">
        <v>757</v>
      </c>
      <c r="D47" s="1" t="s">
        <v>362</v>
      </c>
      <c r="E47" s="26" t="s">
        <v>759</v>
      </c>
      <c r="F47" s="16"/>
    </row>
    <row r="48" spans="1:6" ht="24.95" customHeight="1">
      <c r="A48" s="5" t="str">
        <f t="array" ref="A48">LEFT(D48, MIN(FIND({0,1,2,3,4,5,6,7,8,9}, D48 &amp; "0123456789")) - 1)</f>
        <v>M</v>
      </c>
      <c r="B48" s="1">
        <f t="shared" si="0"/>
        <v>10.4</v>
      </c>
      <c r="C48" s="1" t="s">
        <v>760</v>
      </c>
      <c r="D48" s="1" t="s">
        <v>364</v>
      </c>
      <c r="E48" s="26" t="s">
        <v>761</v>
      </c>
      <c r="F48" s="16"/>
    </row>
    <row r="49" spans="1:6" ht="24.95" customHeight="1">
      <c r="A49" s="5" t="str">
        <f t="array" ref="A49">LEFT(D49, MIN(FIND({0,1,2,3,4,5,6,7,8,9}, D49 &amp; "0123456789")) - 1)</f>
        <v>M</v>
      </c>
      <c r="B49" s="1">
        <f t="shared" si="0"/>
        <v>10.5</v>
      </c>
      <c r="C49" s="1" t="s">
        <v>762</v>
      </c>
      <c r="D49" s="1" t="s">
        <v>366</v>
      </c>
      <c r="E49" s="26" t="s">
        <v>763</v>
      </c>
      <c r="F49" s="16"/>
    </row>
    <row r="50" spans="1:6" ht="24.95" customHeight="1">
      <c r="A50" s="5" t="str">
        <f t="array" ref="A50">LEFT(D50, MIN(FIND({0,1,2,3,4,5,6,7,8,9}, D50 &amp; "0123456789")) - 1)</f>
        <v>M</v>
      </c>
      <c r="B50" s="1">
        <f t="shared" si="0"/>
        <v>10.6</v>
      </c>
      <c r="C50" s="1" t="s">
        <v>1303</v>
      </c>
      <c r="D50" s="1" t="s">
        <v>368</v>
      </c>
      <c r="E50" s="26" t="s">
        <v>847</v>
      </c>
      <c r="F50" s="16"/>
    </row>
    <row r="51" spans="1:6" ht="24.95" customHeight="1">
      <c r="A51" s="5" t="str">
        <f t="array" ref="A51">LEFT(D51, MIN(FIND({0,1,2,3,4,5,6,7,8,9}, D51 &amp; "0123456789")) - 1)</f>
        <v>M</v>
      </c>
      <c r="B51" s="1">
        <f t="shared" si="0"/>
        <v>10.7</v>
      </c>
      <c r="C51" s="1" t="s">
        <v>1304</v>
      </c>
      <c r="D51" s="1" t="s">
        <v>370</v>
      </c>
      <c r="E51" s="26" t="s">
        <v>849</v>
      </c>
      <c r="F51" s="16"/>
    </row>
    <row r="52" spans="1:6" ht="24.95" customHeight="1">
      <c r="A52" s="5" t="str">
        <f t="array" ref="A52">LEFT(D52, MIN(FIND({0,1,2,3,4,5,6,7,8,9}, D52 &amp; "0123456789")) - 1)</f>
        <v>M</v>
      </c>
      <c r="B52" s="1">
        <f t="shared" si="0"/>
        <v>11</v>
      </c>
      <c r="C52" s="1" t="s">
        <v>1305</v>
      </c>
      <c r="D52" s="1" t="s">
        <v>1306</v>
      </c>
      <c r="E52" s="26" t="s">
        <v>1051</v>
      </c>
      <c r="F52" s="16"/>
    </row>
    <row r="53" spans="1:6" ht="24.95" customHeight="1">
      <c r="A53" s="5" t="str">
        <f t="array" ref="A53">LEFT(D53, MIN(FIND({0,1,2,3,4,5,6,7,8,9}, D53 &amp; "0123456789")) - 1)</f>
        <v>M</v>
      </c>
      <c r="B53" s="1">
        <f t="shared" si="0"/>
        <v>11.1</v>
      </c>
      <c r="C53" s="1" t="s">
        <v>1307</v>
      </c>
      <c r="D53" s="1" t="s">
        <v>373</v>
      </c>
      <c r="E53" s="26" t="s">
        <v>1308</v>
      </c>
      <c r="F53" s="16"/>
    </row>
    <row r="54" spans="1:6" ht="24.95" customHeight="1">
      <c r="A54" s="5" t="str">
        <f t="array" ref="A54">LEFT(D54, MIN(FIND({0,1,2,3,4,5,6,7,8,9}, D54 &amp; "0123456789")) - 1)</f>
        <v>M</v>
      </c>
      <c r="B54" s="1">
        <f t="shared" si="0"/>
        <v>11.2</v>
      </c>
      <c r="C54" s="1" t="s">
        <v>1309</v>
      </c>
      <c r="D54" s="1" t="s">
        <v>375</v>
      </c>
      <c r="E54" s="26" t="s">
        <v>1310</v>
      </c>
      <c r="F54" s="16"/>
    </row>
    <row r="55" spans="1:6" ht="24.95" customHeight="1">
      <c r="A55" s="5" t="str">
        <f t="array" ref="A55">LEFT(D55, MIN(FIND({0,1,2,3,4,5,6,7,8,9}, D55 &amp; "0123456789")) - 1)</f>
        <v>M</v>
      </c>
      <c r="B55" s="1">
        <f t="shared" si="0"/>
        <v>11.3</v>
      </c>
      <c r="C55" s="1" t="s">
        <v>1311</v>
      </c>
      <c r="D55" s="1" t="s">
        <v>377</v>
      </c>
      <c r="E55" s="26" t="s">
        <v>1312</v>
      </c>
      <c r="F55" s="16"/>
    </row>
    <row r="56" spans="1:6" ht="24.95" customHeight="1">
      <c r="A56" s="5" t="str">
        <f t="array" ref="A56">LEFT(D56, MIN(FIND({0,1,2,3,4,5,6,7,8,9}, D56 &amp; "0123456789")) - 1)</f>
        <v>M</v>
      </c>
      <c r="B56" s="1">
        <f t="shared" si="0"/>
        <v>11.4</v>
      </c>
      <c r="C56" s="1" t="s">
        <v>1313</v>
      </c>
      <c r="D56" s="1" t="s">
        <v>379</v>
      </c>
      <c r="E56" s="26" t="s">
        <v>1314</v>
      </c>
      <c r="F56" s="16"/>
    </row>
    <row r="57" spans="1:6" ht="24.95" customHeight="1">
      <c r="A57" s="5" t="str">
        <f t="array" ref="A57">LEFT(D57, MIN(FIND({0,1,2,3,4,5,6,7,8,9}, D57 &amp; "0123456789")) - 1)</f>
        <v>M</v>
      </c>
      <c r="B57" s="1">
        <f t="shared" si="0"/>
        <v>20</v>
      </c>
      <c r="C57" s="1" t="s">
        <v>838</v>
      </c>
      <c r="D57" s="1" t="s">
        <v>1315</v>
      </c>
      <c r="E57" s="26" t="s">
        <v>840</v>
      </c>
      <c r="F57" s="16"/>
    </row>
    <row r="58" spans="1:6" ht="24.95" customHeight="1">
      <c r="A58" s="5" t="str">
        <f t="array" ref="A58">LEFT(D58, MIN(FIND({0,1,2,3,4,5,6,7,8,9}, D58 &amp; "0123456789")) - 1)</f>
        <v>M</v>
      </c>
      <c r="B58" s="1">
        <f t="shared" si="0"/>
        <v>20.100000000000001</v>
      </c>
      <c r="C58" s="1" t="s">
        <v>1067</v>
      </c>
      <c r="D58" s="1" t="s">
        <v>1316</v>
      </c>
      <c r="E58" s="26" t="s">
        <v>220</v>
      </c>
      <c r="F58" s="16"/>
    </row>
    <row r="59" spans="1:6" ht="24.95" customHeight="1">
      <c r="A59" s="5" t="str">
        <f t="array" ref="A59">LEFT(D59, MIN(FIND({0,1,2,3,4,5,6,7,8,9}, D59 &amp; "0123456789")) - 1)</f>
        <v>M</v>
      </c>
      <c r="B59" s="1">
        <f t="shared" si="0"/>
        <v>20.2</v>
      </c>
      <c r="C59" s="1" t="s">
        <v>1068</v>
      </c>
      <c r="D59" s="1" t="s">
        <v>1317</v>
      </c>
      <c r="E59" s="26" t="s">
        <v>224</v>
      </c>
      <c r="F59" s="16"/>
    </row>
    <row r="60" spans="1:6" ht="24.95" customHeight="1">
      <c r="A60" s="5" t="str">
        <f t="array" ref="A60">LEFT(D60, MIN(FIND({0,1,2,3,4,5,6,7,8,9}, D60 &amp; "0123456789")) - 1)</f>
        <v>M</v>
      </c>
      <c r="B60" s="1">
        <f t="shared" si="0"/>
        <v>20.3</v>
      </c>
      <c r="C60" s="6" t="s">
        <v>1071</v>
      </c>
      <c r="D60" s="7" t="s">
        <v>1318</v>
      </c>
      <c r="E60" s="26" t="s">
        <v>1319</v>
      </c>
      <c r="F60" s="1"/>
    </row>
    <row r="61" spans="1:6" ht="24.95" customHeight="1">
      <c r="A61" s="5" t="str">
        <f t="array" ref="A61">LEFT(D61, MIN(FIND({0,1,2,3,4,5,6,7,8,9}, D61 &amp; "0123456789")) - 1)</f>
        <v>M</v>
      </c>
      <c r="B61" s="1">
        <f t="shared" si="0"/>
        <v>20.399999999999999</v>
      </c>
      <c r="C61" s="8" t="s">
        <v>1073</v>
      </c>
      <c r="D61" s="7" t="s">
        <v>1320</v>
      </c>
      <c r="E61" s="26" t="s">
        <v>805</v>
      </c>
      <c r="F61" s="16"/>
    </row>
    <row r="62" spans="1:6" ht="24.95" customHeight="1">
      <c r="A62" s="5" t="str">
        <f t="array" ref="A62">LEFT(D62, MIN(FIND({0,1,2,3,4,5,6,7,8,9}, D62 &amp; "0123456789")) - 1)</f>
        <v>M</v>
      </c>
      <c r="B62" s="1">
        <f t="shared" si="0"/>
        <v>20.5</v>
      </c>
      <c r="C62" s="5" t="s">
        <v>1074</v>
      </c>
      <c r="D62" s="7" t="s">
        <v>1321</v>
      </c>
      <c r="E62" s="26" t="s">
        <v>807</v>
      </c>
      <c r="F62" s="16"/>
    </row>
    <row r="63" spans="1:6" ht="24.95" customHeight="1">
      <c r="A63" s="5" t="str">
        <f t="array" ref="A63">LEFT(D63, MIN(FIND({0,1,2,3,4,5,6,7,8,9}, D63 &amp; "0123456789")) - 1)</f>
        <v>M</v>
      </c>
      <c r="B63" s="1">
        <f t="shared" si="0"/>
        <v>20.6</v>
      </c>
      <c r="C63" s="8" t="s">
        <v>1075</v>
      </c>
      <c r="D63" s="1" t="s">
        <v>1322</v>
      </c>
      <c r="E63" s="26" t="s">
        <v>809</v>
      </c>
      <c r="F63" s="16"/>
    </row>
    <row r="64" spans="1:6" ht="24.95" customHeight="1">
      <c r="A64" s="5" t="str">
        <f t="array" ref="A64">LEFT(D64, MIN(FIND({0,1,2,3,4,5,6,7,8,9}, D64 &amp; "0123456789")) - 1)</f>
        <v>M</v>
      </c>
      <c r="B64" s="1">
        <f t="shared" si="0"/>
        <v>20.7</v>
      </c>
      <c r="C64" s="5" t="s">
        <v>1081</v>
      </c>
      <c r="D64" s="1" t="s">
        <v>1323</v>
      </c>
      <c r="E64" s="26" t="s">
        <v>1082</v>
      </c>
      <c r="F64" s="16"/>
    </row>
    <row r="65" spans="1:6" ht="24.95" customHeight="1">
      <c r="A65" s="5" t="str">
        <f t="array" ref="A65">LEFT(D65, MIN(FIND({0,1,2,3,4,5,6,7,8,9}, D65 &amp; "0123456789")) - 1)</f>
        <v>M</v>
      </c>
      <c r="B65" s="1">
        <f t="shared" si="0"/>
        <v>22</v>
      </c>
      <c r="C65" s="8" t="s">
        <v>1076</v>
      </c>
      <c r="D65" s="1" t="s">
        <v>1324</v>
      </c>
      <c r="E65" s="26" t="s">
        <v>1077</v>
      </c>
      <c r="F65" s="16"/>
    </row>
    <row r="66" spans="1:6" ht="24.95" customHeight="1">
      <c r="A66" s="5" t="str">
        <f t="array" ref="A66">LEFT(D66, MIN(FIND({0,1,2,3,4,5,6,7,8,9}, D66 &amp; "0123456789")) - 1)</f>
        <v>M</v>
      </c>
      <c r="B66" s="1">
        <f t="shared" ref="B66:B129" si="1">VALUE(RIGHT(D66,LEN(D66)-LEN(A66)))</f>
        <v>22.1</v>
      </c>
      <c r="C66" s="1" t="s">
        <v>1078</v>
      </c>
      <c r="D66" s="1" t="s">
        <v>1325</v>
      </c>
      <c r="E66" s="26" t="s">
        <v>1080</v>
      </c>
      <c r="F66" s="16"/>
    </row>
    <row r="67" spans="1:6" ht="24.95" customHeight="1">
      <c r="A67" s="5" t="str">
        <f t="array" ref="A67">LEFT(D67, MIN(FIND({0,1,2,3,4,5,6,7,8,9}, D67 &amp; "0123456789")) - 1)</f>
        <v>T</v>
      </c>
      <c r="B67" s="1">
        <f t="shared" si="1"/>
        <v>101</v>
      </c>
      <c r="C67" s="1" t="s">
        <v>773</v>
      </c>
      <c r="D67" s="1" t="s">
        <v>21</v>
      </c>
      <c r="E67" s="26" t="s">
        <v>774</v>
      </c>
      <c r="F67" s="16"/>
    </row>
    <row r="68" spans="1:6" ht="24.95" customHeight="1">
      <c r="A68" s="5" t="str">
        <f t="array" ref="A68">LEFT(D68, MIN(FIND({0,1,2,3,4,5,6,7,8,9}, D68 &amp; "0123456789")) - 1)</f>
        <v>T</v>
      </c>
      <c r="B68" s="1">
        <f t="shared" si="1"/>
        <v>102</v>
      </c>
      <c r="C68" s="1" t="s">
        <v>775</v>
      </c>
      <c r="D68" s="1" t="s">
        <v>40</v>
      </c>
      <c r="E68" s="26" t="s">
        <v>776</v>
      </c>
      <c r="F68" s="16"/>
    </row>
    <row r="69" spans="1:6" ht="24.95" customHeight="1">
      <c r="A69" s="5" t="str">
        <f t="array" ref="A69">LEFT(D69, MIN(FIND({0,1,2,3,4,5,6,7,8,9}, D69 &amp; "0123456789")) - 1)</f>
        <v>T</v>
      </c>
      <c r="B69" s="1">
        <f t="shared" si="1"/>
        <v>103</v>
      </c>
      <c r="C69" s="1" t="s">
        <v>1041</v>
      </c>
      <c r="D69" s="1" t="s">
        <v>54</v>
      </c>
      <c r="E69" s="26" t="s">
        <v>777</v>
      </c>
      <c r="F69" s="16"/>
    </row>
    <row r="70" spans="1:6" ht="24.95" customHeight="1">
      <c r="A70" s="5" t="str">
        <f t="array" ref="A70">LEFT(D70, MIN(FIND({0,1,2,3,4,5,6,7,8,9}, D70 &amp; "0123456789")) - 1)</f>
        <v>T</v>
      </c>
      <c r="B70" s="1">
        <f t="shared" si="1"/>
        <v>104</v>
      </c>
      <c r="C70" s="1" t="s">
        <v>1042</v>
      </c>
      <c r="D70" s="1" t="s">
        <v>64</v>
      </c>
      <c r="E70" s="26" t="s">
        <v>778</v>
      </c>
      <c r="F70" s="16"/>
    </row>
    <row r="71" spans="1:6" ht="24.95" customHeight="1">
      <c r="A71" s="5" t="str">
        <f t="array" ref="A71">LEFT(D71, MIN(FIND({0,1,2,3,4,5,6,7,8,9}, D71 &amp; "0123456789")) - 1)</f>
        <v>T</v>
      </c>
      <c r="B71" s="1">
        <f t="shared" si="1"/>
        <v>105</v>
      </c>
      <c r="C71" s="6" t="s">
        <v>779</v>
      </c>
      <c r="D71" s="7" t="s">
        <v>73</v>
      </c>
      <c r="E71" s="26" t="s">
        <v>780</v>
      </c>
      <c r="F71" s="1"/>
    </row>
    <row r="72" spans="1:6" ht="24.95" customHeight="1">
      <c r="A72" s="5" t="str">
        <f t="array" ref="A72">LEFT(D72, MIN(FIND({0,1,2,3,4,5,6,7,8,9}, D72 &amp; "0123456789")) - 1)</f>
        <v>T</v>
      </c>
      <c r="B72" s="1">
        <f t="shared" si="1"/>
        <v>106</v>
      </c>
      <c r="C72" s="1" t="s">
        <v>781</v>
      </c>
      <c r="D72" s="7" t="s">
        <v>84</v>
      </c>
      <c r="E72" s="26" t="s">
        <v>782</v>
      </c>
      <c r="F72" s="16"/>
    </row>
    <row r="73" spans="1:6" ht="24.95" customHeight="1">
      <c r="A73" s="5" t="str">
        <f t="array" ref="A73">LEFT(D73, MIN(FIND({0,1,2,3,4,5,6,7,8,9}, D73 &amp; "0123456789")) - 1)</f>
        <v>T</v>
      </c>
      <c r="B73" s="1">
        <f t="shared" si="1"/>
        <v>107</v>
      </c>
      <c r="C73" s="1" t="s">
        <v>783</v>
      </c>
      <c r="D73" s="1" t="s">
        <v>93</v>
      </c>
      <c r="E73" s="26" t="s">
        <v>784</v>
      </c>
      <c r="F73" s="16"/>
    </row>
    <row r="74" spans="1:6" ht="24.95" customHeight="1">
      <c r="A74" s="5" t="str">
        <f t="array" ref="A74">LEFT(D74, MIN(FIND({0,1,2,3,4,5,6,7,8,9}, D74 &amp; "0123456789")) - 1)</f>
        <v>T</v>
      </c>
      <c r="B74" s="1">
        <f t="shared" si="1"/>
        <v>110</v>
      </c>
      <c r="C74" s="1" t="s">
        <v>785</v>
      </c>
      <c r="D74" s="1" t="s">
        <v>114</v>
      </c>
      <c r="E74" s="26" t="s">
        <v>786</v>
      </c>
      <c r="F74" s="16"/>
    </row>
    <row r="75" spans="1:6" ht="24.95" customHeight="1">
      <c r="A75" s="5" t="str">
        <f t="array" ref="A75">LEFT(D75, MIN(FIND({0,1,2,3,4,5,6,7,8,9}, D75 &amp; "0123456789")) - 1)</f>
        <v>T</v>
      </c>
      <c r="B75" s="1">
        <f t="shared" si="1"/>
        <v>111</v>
      </c>
      <c r="C75" s="1" t="s">
        <v>787</v>
      </c>
      <c r="D75" s="1" t="s">
        <v>120</v>
      </c>
      <c r="E75" s="26" t="s">
        <v>788</v>
      </c>
      <c r="F75" s="16"/>
    </row>
    <row r="76" spans="1:6" ht="24.95" customHeight="1">
      <c r="A76" s="5" t="str">
        <f t="array" ref="A76">LEFT(D76, MIN(FIND({0,1,2,3,4,5,6,7,8,9}, D76 &amp; "0123456789")) - 1)</f>
        <v>T</v>
      </c>
      <c r="B76" s="1">
        <f t="shared" si="1"/>
        <v>112</v>
      </c>
      <c r="C76" s="6" t="s">
        <v>789</v>
      </c>
      <c r="D76" s="1" t="s">
        <v>124</v>
      </c>
      <c r="E76" s="26" t="s">
        <v>790</v>
      </c>
      <c r="F76" s="16"/>
    </row>
    <row r="77" spans="1:6" ht="24.95" customHeight="1">
      <c r="A77" s="5" t="str">
        <f t="array" ref="A77">LEFT(D77, MIN(FIND({0,1,2,3,4,5,6,7,8,9}, D77 &amp; "0123456789")) - 1)</f>
        <v>T</v>
      </c>
      <c r="B77" s="1">
        <f t="shared" si="1"/>
        <v>113</v>
      </c>
      <c r="C77" s="1" t="s">
        <v>791</v>
      </c>
      <c r="D77" s="1" t="s">
        <v>129</v>
      </c>
      <c r="E77" s="26" t="s">
        <v>792</v>
      </c>
      <c r="F77" s="16"/>
    </row>
    <row r="78" spans="1:6" ht="24.95" customHeight="1">
      <c r="A78" s="5" t="str">
        <f t="array" ref="A78">LEFT(D78, MIN(FIND({0,1,2,3,4,5,6,7,8,9}, D78 &amp; "0123456789")) - 1)</f>
        <v>T</v>
      </c>
      <c r="B78" s="1">
        <f t="shared" si="1"/>
        <v>114</v>
      </c>
      <c r="C78" s="5" t="s">
        <v>793</v>
      </c>
      <c r="D78" s="1" t="s">
        <v>133</v>
      </c>
      <c r="E78" s="26" t="s">
        <v>794</v>
      </c>
      <c r="F78" s="16"/>
    </row>
    <row r="79" spans="1:6" ht="24.95" customHeight="1">
      <c r="A79" s="5" t="str">
        <f t="array" ref="A79">LEFT(D79, MIN(FIND({0,1,2,3,4,5,6,7,8,9}, D79 &amp; "0123456789")) - 1)</f>
        <v>T</v>
      </c>
      <c r="B79" s="1">
        <f t="shared" si="1"/>
        <v>115</v>
      </c>
      <c r="C79" s="1" t="s">
        <v>795</v>
      </c>
      <c r="D79" s="1" t="s">
        <v>136</v>
      </c>
      <c r="E79" s="26" t="s">
        <v>796</v>
      </c>
      <c r="F79" s="16"/>
    </row>
    <row r="80" spans="1:6" ht="24.95" customHeight="1">
      <c r="A80" s="5" t="str">
        <f t="array" ref="A80">LEFT(D80, MIN(FIND({0,1,2,3,4,5,6,7,8,9}, D80 &amp; "0123456789")) - 1)</f>
        <v>T</v>
      </c>
      <c r="B80" s="1">
        <f t="shared" si="1"/>
        <v>116</v>
      </c>
      <c r="C80" s="1" t="s">
        <v>1043</v>
      </c>
      <c r="D80" s="1" t="s">
        <v>139</v>
      </c>
      <c r="E80" s="26" t="s">
        <v>797</v>
      </c>
      <c r="F80" s="16"/>
    </row>
    <row r="81" spans="1:6" ht="24.95" customHeight="1">
      <c r="A81" s="5" t="str">
        <f t="array" ref="A81">LEFT(D81, MIN(FIND({0,1,2,3,4,5,6,7,8,9}, D81 &amp; "0123456789")) - 1)</f>
        <v>T</v>
      </c>
      <c r="B81" s="1">
        <f t="shared" si="1"/>
        <v>117</v>
      </c>
      <c r="C81" s="1" t="s">
        <v>798</v>
      </c>
      <c r="D81" s="1" t="s">
        <v>143</v>
      </c>
      <c r="E81" s="26" t="s">
        <v>799</v>
      </c>
      <c r="F81" s="16"/>
    </row>
    <row r="82" spans="1:6" ht="24.95" customHeight="1">
      <c r="A82" s="5" t="str">
        <f t="array" ref="A82">LEFT(D82, MIN(FIND({0,1,2,3,4,5,6,7,8,9}, D82 &amp; "0123456789")) - 1)</f>
        <v>T</v>
      </c>
      <c r="B82" s="1">
        <f t="shared" si="1"/>
        <v>118</v>
      </c>
      <c r="C82" s="1" t="s">
        <v>800</v>
      </c>
      <c r="D82" s="1" t="s">
        <v>147</v>
      </c>
      <c r="E82" s="26" t="s">
        <v>801</v>
      </c>
      <c r="F82" s="16"/>
    </row>
    <row r="83" spans="1:6" ht="24.95" customHeight="1">
      <c r="A83" s="5" t="str">
        <f t="array" ref="A83">LEFT(D83, MIN(FIND({0,1,2,3,4,5,6,7,8,9}, D83 &amp; "0123456789")) - 1)</f>
        <v>V</v>
      </c>
      <c r="B83" s="1">
        <f t="shared" si="1"/>
        <v>0</v>
      </c>
      <c r="C83" s="1" t="s">
        <v>802</v>
      </c>
      <c r="D83" s="1" t="s">
        <v>803</v>
      </c>
      <c r="E83" s="26" t="s">
        <v>802</v>
      </c>
      <c r="F83" s="16"/>
    </row>
    <row r="84" spans="1:6" ht="24.95" customHeight="1">
      <c r="A84" s="5" t="str">
        <f t="array" ref="A84">LEFT(D84, MIN(FIND({0,1,2,3,4,5,6,7,8,9}, D84 &amp; "0123456789")) - 1)</f>
        <v>V</v>
      </c>
      <c r="B84" s="1">
        <f t="shared" si="1"/>
        <v>0.1</v>
      </c>
      <c r="C84" s="1" t="s">
        <v>1044</v>
      </c>
      <c r="D84" s="1" t="s">
        <v>557</v>
      </c>
      <c r="E84" s="26" t="s">
        <v>805</v>
      </c>
      <c r="F84" s="16"/>
    </row>
    <row r="85" spans="1:6" ht="24.95" customHeight="1">
      <c r="A85" s="5" t="str">
        <f t="array" ref="A85">LEFT(D85, MIN(FIND({0,1,2,3,4,5,6,7,8,9}, D85 &amp; "0123456789")) - 1)</f>
        <v>V</v>
      </c>
      <c r="B85" s="1">
        <f t="shared" si="1"/>
        <v>0.2</v>
      </c>
      <c r="C85" s="1" t="s">
        <v>1045</v>
      </c>
      <c r="D85" s="1" t="s">
        <v>558</v>
      </c>
      <c r="E85" s="26" t="s">
        <v>807</v>
      </c>
      <c r="F85" s="16"/>
    </row>
    <row r="86" spans="1:6" ht="24.95" customHeight="1">
      <c r="A86" s="5" t="str">
        <f t="array" ref="A86">LEFT(D86, MIN(FIND({0,1,2,3,4,5,6,7,8,9}, D86 &amp; "0123456789")) - 1)</f>
        <v>V</v>
      </c>
      <c r="B86" s="1">
        <f t="shared" si="1"/>
        <v>0.3</v>
      </c>
      <c r="C86" s="1" t="s">
        <v>1046</v>
      </c>
      <c r="D86" s="1" t="s">
        <v>559</v>
      </c>
      <c r="E86" s="26" t="s">
        <v>809</v>
      </c>
      <c r="F86" s="16"/>
    </row>
    <row r="87" spans="1:6" ht="24.95" customHeight="1">
      <c r="A87" s="5" t="str">
        <f t="array" ref="A87">LEFT(D87, MIN(FIND({0,1,2,3,4,5,6,7,8,9}, D87 &amp; "0123456789")) - 1)</f>
        <v>V</v>
      </c>
      <c r="B87" s="1">
        <f t="shared" si="1"/>
        <v>0.4</v>
      </c>
      <c r="C87" s="1" t="s">
        <v>810</v>
      </c>
      <c r="D87" s="1" t="s">
        <v>560</v>
      </c>
      <c r="E87" s="26" t="s">
        <v>810</v>
      </c>
      <c r="F87" s="16"/>
    </row>
    <row r="88" spans="1:6" ht="24.95" customHeight="1">
      <c r="A88" s="5" t="str">
        <f t="array" ref="A88">LEFT(D88, MIN(FIND({0,1,2,3,4,5,6,7,8,9}, D88 &amp; "0123456789")) - 1)</f>
        <v>V</v>
      </c>
      <c r="B88" s="1">
        <f t="shared" si="1"/>
        <v>0.5</v>
      </c>
      <c r="C88" s="1" t="s">
        <v>811</v>
      </c>
      <c r="D88" s="1" t="s">
        <v>561</v>
      </c>
      <c r="E88" s="26" t="s">
        <v>812</v>
      </c>
      <c r="F88" s="16"/>
    </row>
    <row r="89" spans="1:6" ht="24.95" customHeight="1">
      <c r="A89" s="5" t="str">
        <f t="array" ref="A89">LEFT(D89, MIN(FIND({0,1,2,3,4,5,6,7,8,9}, D89 &amp; "0123456789")) - 1)</f>
        <v>V</v>
      </c>
      <c r="B89" s="1">
        <f t="shared" si="1"/>
        <v>0.6</v>
      </c>
      <c r="C89" s="1" t="s">
        <v>1047</v>
      </c>
      <c r="D89" s="1" t="s">
        <v>562</v>
      </c>
      <c r="E89" s="26" t="s">
        <v>814</v>
      </c>
      <c r="F89" s="16"/>
    </row>
    <row r="90" spans="1:6" ht="24.95" customHeight="1">
      <c r="A90" s="5" t="str">
        <f t="array" ref="A90">LEFT(D90, MIN(FIND({0,1,2,3,4,5,6,7,8,9}, D90 &amp; "0123456789")) - 1)</f>
        <v>V</v>
      </c>
      <c r="B90" s="1">
        <f t="shared" si="1"/>
        <v>0.7</v>
      </c>
      <c r="C90" s="6" t="s">
        <v>815</v>
      </c>
      <c r="D90" s="1" t="s">
        <v>563</v>
      </c>
      <c r="E90" s="26" t="s">
        <v>816</v>
      </c>
      <c r="F90" s="16"/>
    </row>
    <row r="91" spans="1:6" ht="24.95" customHeight="1">
      <c r="A91" s="5" t="str">
        <f t="array" ref="A91">LEFT(D91, MIN(FIND({0,1,2,3,4,5,6,7,8,9}, D91 &amp; "0123456789")) - 1)</f>
        <v>V</v>
      </c>
      <c r="B91" s="1">
        <f t="shared" si="1"/>
        <v>1</v>
      </c>
      <c r="C91" s="1" t="s">
        <v>817</v>
      </c>
      <c r="D91" s="1" t="s">
        <v>818</v>
      </c>
      <c r="E91" s="26" t="s">
        <v>819</v>
      </c>
      <c r="F91" s="16"/>
    </row>
    <row r="92" spans="1:6" ht="24.95" customHeight="1">
      <c r="A92" s="5" t="str">
        <f t="array" ref="A92">LEFT(D92, MIN(FIND({0,1,2,3,4,5,6,7,8,9}, D92 &amp; "0123456789")) - 1)</f>
        <v>V</v>
      </c>
      <c r="B92" s="1">
        <f t="shared" si="1"/>
        <v>1.1000000000000001</v>
      </c>
      <c r="C92" s="1" t="s">
        <v>820</v>
      </c>
      <c r="D92" s="1" t="s">
        <v>564</v>
      </c>
      <c r="E92" s="26" t="s">
        <v>821</v>
      </c>
      <c r="F92" s="1"/>
    </row>
    <row r="93" spans="1:6" ht="24.95" customHeight="1">
      <c r="A93" s="5" t="str">
        <f t="array" ref="A93">LEFT(D93, MIN(FIND({0,1,2,3,4,5,6,7,8,9}, D93 &amp; "0123456789")) - 1)</f>
        <v>V</v>
      </c>
      <c r="B93" s="1">
        <f t="shared" si="1"/>
        <v>2</v>
      </c>
      <c r="C93" s="1" t="s">
        <v>1048</v>
      </c>
      <c r="D93" s="1" t="s">
        <v>823</v>
      </c>
      <c r="E93" s="26" t="s">
        <v>1049</v>
      </c>
      <c r="F93" s="1"/>
    </row>
    <row r="94" spans="1:6" ht="24.95" customHeight="1">
      <c r="A94" s="5" t="str">
        <f t="array" ref="A94">LEFT(D94, MIN(FIND({0,1,2,3,4,5,6,7,8,9}, D94 &amp; "0123456789")) - 1)</f>
        <v>V</v>
      </c>
      <c r="B94" s="1">
        <f t="shared" si="1"/>
        <v>2.1</v>
      </c>
      <c r="C94" s="6" t="s">
        <v>825</v>
      </c>
      <c r="D94" s="7" t="s">
        <v>571</v>
      </c>
      <c r="E94" s="26" t="s">
        <v>826</v>
      </c>
      <c r="F94" s="1"/>
    </row>
    <row r="95" spans="1:6" ht="24.95" customHeight="1">
      <c r="A95" s="5" t="str">
        <f t="array" ref="A95">LEFT(D95, MIN(FIND({0,1,2,3,4,5,6,7,8,9}, D95 &amp; "0123456789")) - 1)</f>
        <v>V</v>
      </c>
      <c r="B95" s="1">
        <f t="shared" si="1"/>
        <v>2.2000000000000002</v>
      </c>
      <c r="C95" s="1" t="s">
        <v>827</v>
      </c>
      <c r="D95" s="1" t="s">
        <v>572</v>
      </c>
      <c r="E95" s="26" t="s">
        <v>828</v>
      </c>
      <c r="F95" s="16"/>
    </row>
    <row r="96" spans="1:6" ht="24.95" customHeight="1">
      <c r="A96" s="5" t="str">
        <f t="array" ref="A96">LEFT(D96, MIN(FIND({0,1,2,3,4,5,6,7,8,9}, D96 &amp; "0123456789")) - 1)</f>
        <v>V</v>
      </c>
      <c r="B96" s="1">
        <f t="shared" si="1"/>
        <v>2.2999999999999998</v>
      </c>
      <c r="C96" s="1" t="s">
        <v>829</v>
      </c>
      <c r="D96" s="1" t="s">
        <v>573</v>
      </c>
      <c r="E96" s="26" t="s">
        <v>830</v>
      </c>
      <c r="F96" s="16"/>
    </row>
    <row r="97" spans="1:6" ht="24.95" customHeight="1">
      <c r="A97" s="5" t="str">
        <f t="array" ref="A97">LEFT(D97, MIN(FIND({0,1,2,3,4,5,6,7,8,9}, D97 &amp; "0123456789")) - 1)</f>
        <v>V</v>
      </c>
      <c r="B97" s="1">
        <f t="shared" si="1"/>
        <v>2.4</v>
      </c>
      <c r="C97" s="1" t="s">
        <v>831</v>
      </c>
      <c r="D97" s="1" t="s">
        <v>574</v>
      </c>
      <c r="E97" s="43" t="s">
        <v>832</v>
      </c>
      <c r="F97" s="16"/>
    </row>
    <row r="98" spans="1:6" ht="24.95" customHeight="1">
      <c r="A98" s="5" t="str">
        <f t="array" ref="A98">LEFT(D98, MIN(FIND({0,1,2,3,4,5,6,7,8,9}, D98 &amp; "0123456789")) - 1)</f>
        <v>V</v>
      </c>
      <c r="B98" s="1">
        <f t="shared" si="1"/>
        <v>2.5</v>
      </c>
      <c r="C98" s="1" t="s">
        <v>833</v>
      </c>
      <c r="D98" s="1" t="s">
        <v>575</v>
      </c>
      <c r="E98" s="26" t="s">
        <v>834</v>
      </c>
      <c r="F98" s="16"/>
    </row>
    <row r="99" spans="1:6" ht="24.95" customHeight="1">
      <c r="A99" s="5" t="str">
        <f t="array" ref="A99">LEFT(D99, MIN(FIND({0,1,2,3,4,5,6,7,8,9}, D99 &amp; "0123456789")) - 1)</f>
        <v>V</v>
      </c>
      <c r="B99" s="1">
        <f t="shared" si="1"/>
        <v>2.6</v>
      </c>
      <c r="C99" s="1" t="s">
        <v>835</v>
      </c>
      <c r="D99" s="1" t="s">
        <v>576</v>
      </c>
      <c r="E99" s="26" t="s">
        <v>87</v>
      </c>
      <c r="F99" s="16"/>
    </row>
    <row r="100" spans="1:6" ht="24.95" customHeight="1">
      <c r="A100" s="5" t="str">
        <f t="array" ref="A100">LEFT(D100, MIN(FIND({0,1,2,3,4,5,6,7,8,9}, D100 &amp; "0123456789")) - 1)</f>
        <v>V</v>
      </c>
      <c r="B100" s="1">
        <f t="shared" si="1"/>
        <v>2.7</v>
      </c>
      <c r="C100" s="1" t="s">
        <v>836</v>
      </c>
      <c r="D100" s="1" t="s">
        <v>577</v>
      </c>
      <c r="E100" s="26" t="s">
        <v>837</v>
      </c>
      <c r="F100" s="16"/>
    </row>
    <row r="101" spans="1:6" ht="24.95" customHeight="1">
      <c r="A101" s="5" t="str">
        <f t="array" ref="A101">LEFT(D101, MIN(FIND({0,1,2,3,4,5,6,7,8,9}, D101 &amp; "0123456789")) - 1)</f>
        <v>VD</v>
      </c>
      <c r="B101" s="1">
        <f t="shared" si="1"/>
        <v>20</v>
      </c>
      <c r="C101" s="1" t="s">
        <v>1128</v>
      </c>
      <c r="D101" s="7" t="s">
        <v>1342</v>
      </c>
      <c r="E101" s="26" t="s">
        <v>1129</v>
      </c>
      <c r="F101" s="16"/>
    </row>
    <row r="102" spans="1:6" ht="24.95" customHeight="1">
      <c r="A102" s="5" t="str">
        <f t="array" ref="A102">LEFT(D102, MIN(FIND({0,1,2,3,4,5,6,7,8,9}, D102 &amp; "0123456789")) - 1)</f>
        <v>VD</v>
      </c>
      <c r="B102" s="1">
        <f t="shared" si="1"/>
        <v>24</v>
      </c>
      <c r="C102" s="1" t="s">
        <v>1130</v>
      </c>
      <c r="D102" s="1" t="s">
        <v>1343</v>
      </c>
      <c r="E102" s="26" t="s">
        <v>1131</v>
      </c>
      <c r="F102" s="16"/>
    </row>
    <row r="103" spans="1:6" ht="24.95" customHeight="1">
      <c r="A103" s="5" t="str">
        <f t="array" ref="A103">LEFT(D103, MIN(FIND({0,1,2,3,4,5,6,7,8,9}, D103 &amp; "0123456789")) - 1)</f>
        <v>VD</v>
      </c>
      <c r="B103" s="1">
        <f t="shared" si="1"/>
        <v>32</v>
      </c>
      <c r="C103" s="1" t="s">
        <v>1344</v>
      </c>
      <c r="D103" s="1" t="s">
        <v>1345</v>
      </c>
      <c r="E103" s="26" t="s">
        <v>1133</v>
      </c>
      <c r="F103" s="16"/>
    </row>
    <row r="104" spans="1:6" ht="24.95" customHeight="1">
      <c r="A104" s="5" t="str">
        <f t="array" ref="A104">LEFT(D104, MIN(FIND({0,1,2,3,4,5,6,7,8,9}, D104 &amp; "0123456789")) - 1)</f>
        <v>VD</v>
      </c>
      <c r="B104" s="1">
        <f t="shared" si="1"/>
        <v>36</v>
      </c>
      <c r="C104" s="1" t="s">
        <v>1346</v>
      </c>
      <c r="D104" s="1" t="s">
        <v>1347</v>
      </c>
      <c r="E104" s="26" t="s">
        <v>1135</v>
      </c>
      <c r="F104" s="16"/>
    </row>
    <row r="105" spans="1:6" ht="24.95" customHeight="1">
      <c r="A105" s="5" t="str">
        <f t="array" ref="A105">LEFT(D105, MIN(FIND({0,1,2,3,4,5,6,7,8,9}, D105 &amp; "0123456789")) - 1)</f>
        <v>VD</v>
      </c>
      <c r="B105" s="1">
        <f t="shared" si="1"/>
        <v>40</v>
      </c>
      <c r="C105" s="1" t="s">
        <v>1142</v>
      </c>
      <c r="D105" s="1" t="s">
        <v>1348</v>
      </c>
      <c r="E105" s="26" t="s">
        <v>1143</v>
      </c>
      <c r="F105" s="16"/>
    </row>
    <row r="106" spans="1:6" ht="24.95" customHeight="1">
      <c r="A106" s="5" t="str">
        <f t="array" ref="A106">LEFT(D106, MIN(FIND({0,1,2,3,4,5,6,7,8,9}, D106 &amp; "0123456789")) - 1)</f>
        <v>VD</v>
      </c>
      <c r="B106" s="1">
        <f t="shared" si="1"/>
        <v>44</v>
      </c>
      <c r="C106" s="1" t="s">
        <v>1144</v>
      </c>
      <c r="D106" s="1" t="s">
        <v>1349</v>
      </c>
      <c r="E106" s="26" t="s">
        <v>1145</v>
      </c>
      <c r="F106" s="16"/>
    </row>
    <row r="107" spans="1:6" ht="24.95" customHeight="1">
      <c r="A107" s="5" t="str">
        <f t="array" ref="A107">LEFT(D107, MIN(FIND({0,1,2,3,4,5,6,7,8,9}, D107 &amp; "0123456789")) - 1)</f>
        <v>VD</v>
      </c>
      <c r="B107" s="1">
        <f t="shared" si="1"/>
        <v>48</v>
      </c>
      <c r="C107" s="1" t="s">
        <v>1132</v>
      </c>
      <c r="D107" s="1" t="s">
        <v>1350</v>
      </c>
      <c r="E107" s="26" t="s">
        <v>1351</v>
      </c>
      <c r="F107" s="16"/>
    </row>
    <row r="108" spans="1:6" ht="24.95" customHeight="1">
      <c r="A108" s="5" t="str">
        <f t="array" ref="A108">LEFT(D108, MIN(FIND({0,1,2,3,4,5,6,7,8,9}, D108 &amp; "0123456789")) - 1)</f>
        <v>VD</v>
      </c>
      <c r="B108" s="1">
        <f t="shared" si="1"/>
        <v>52</v>
      </c>
      <c r="C108" s="1" t="s">
        <v>1134</v>
      </c>
      <c r="D108" s="1" t="s">
        <v>1352</v>
      </c>
      <c r="E108" s="26" t="s">
        <v>1353</v>
      </c>
      <c r="F108" s="16"/>
    </row>
    <row r="109" spans="1:6" ht="24.95" customHeight="1">
      <c r="A109" s="5" t="str">
        <f t="array" ref="A109">LEFT(D109, MIN(FIND({0,1,2,3,4,5,6,7,8,9}, D109 &amp; "0123456789")) - 1)</f>
        <v>VD</v>
      </c>
      <c r="B109" s="1">
        <f t="shared" si="1"/>
        <v>56</v>
      </c>
      <c r="C109" s="1" t="s">
        <v>1354</v>
      </c>
      <c r="D109" s="7" t="s">
        <v>1355</v>
      </c>
      <c r="E109" s="26" t="s">
        <v>1356</v>
      </c>
      <c r="F109" s="16"/>
    </row>
    <row r="110" spans="1:6" ht="24.95" customHeight="1">
      <c r="A110" s="5" t="str">
        <f t="array" ref="A110">LEFT(D110, MIN(FIND({0,1,2,3,4,5,6,7,8,9}, D110 &amp; "0123456789")) - 1)</f>
        <v>VD</v>
      </c>
      <c r="B110" s="1">
        <f t="shared" si="1"/>
        <v>60</v>
      </c>
      <c r="C110" s="1" t="s">
        <v>1161</v>
      </c>
      <c r="D110" s="1" t="s">
        <v>1357</v>
      </c>
      <c r="E110" s="26" t="s">
        <v>162</v>
      </c>
      <c r="F110" s="16"/>
    </row>
    <row r="111" spans="1:6" ht="24.95" customHeight="1">
      <c r="A111" s="5" t="str">
        <f t="array" ref="A111">LEFT(D111, MIN(FIND({0,1,2,3,4,5,6,7,8,9}, D111 &amp; "0123456789")) - 1)</f>
        <v>VD</v>
      </c>
      <c r="B111" s="1">
        <f t="shared" si="1"/>
        <v>64</v>
      </c>
      <c r="C111" s="1" t="s">
        <v>1162</v>
      </c>
      <c r="D111" s="1" t="s">
        <v>1358</v>
      </c>
      <c r="E111" s="26" t="s">
        <v>1163</v>
      </c>
      <c r="F111" s="16"/>
    </row>
    <row r="112" spans="1:6" ht="24.95" customHeight="1">
      <c r="A112" s="5" t="str">
        <f t="array" ref="A112">LEFT(D112, MIN(FIND({0,1,2,3,4,5,6,7,8,9}, D112 &amp; "0123456789")) - 1)</f>
        <v>VD</v>
      </c>
      <c r="B112" s="1">
        <f t="shared" si="1"/>
        <v>68</v>
      </c>
      <c r="C112" s="1" t="s">
        <v>1164</v>
      </c>
      <c r="D112" s="1" t="s">
        <v>1359</v>
      </c>
      <c r="E112" s="26" t="s">
        <v>1165</v>
      </c>
      <c r="F112" s="16"/>
    </row>
    <row r="113" spans="1:6" ht="24.95" customHeight="1">
      <c r="A113" s="5" t="str">
        <f t="array" ref="A113">LEFT(D113, MIN(FIND({0,1,2,3,4,5,6,7,8,9}, D113 &amp; "0123456789")) - 1)</f>
        <v>VD</v>
      </c>
      <c r="B113" s="1">
        <f t="shared" si="1"/>
        <v>72</v>
      </c>
      <c r="C113" s="1" t="s">
        <v>1166</v>
      </c>
      <c r="D113" s="1" t="s">
        <v>1360</v>
      </c>
      <c r="E113" s="26" t="s">
        <v>1167</v>
      </c>
      <c r="F113" s="16"/>
    </row>
    <row r="114" spans="1:6" ht="24.95" customHeight="1">
      <c r="A114" s="5" t="str">
        <f t="array" ref="A114">LEFT(D114, MIN(FIND({0,1,2,3,4,5,6,7,8,9}, D114 &amp; "0123456789")) - 1)</f>
        <v>VD</v>
      </c>
      <c r="B114" s="1">
        <f t="shared" si="1"/>
        <v>76</v>
      </c>
      <c r="C114" s="1" t="s">
        <v>1169</v>
      </c>
      <c r="D114" s="1" t="s">
        <v>1361</v>
      </c>
      <c r="E114" s="26" t="s">
        <v>1170</v>
      </c>
      <c r="F114" s="16"/>
    </row>
    <row r="115" spans="1:6" ht="24.95" customHeight="1">
      <c r="A115" s="5" t="str">
        <f t="array" ref="A115">LEFT(D115, MIN(FIND({0,1,2,3,4,5,6,7,8,9}, D115 &amp; "0123456789")) - 1)</f>
        <v>VD</v>
      </c>
      <c r="B115" s="1">
        <f t="shared" si="1"/>
        <v>80</v>
      </c>
      <c r="C115" s="1" t="s">
        <v>1362</v>
      </c>
      <c r="D115" s="1" t="s">
        <v>1363</v>
      </c>
      <c r="E115" s="26" t="s">
        <v>1364</v>
      </c>
      <c r="F115" s="16"/>
    </row>
    <row r="116" spans="1:6" ht="24.95" customHeight="1">
      <c r="A116" s="5" t="str">
        <f t="array" ref="A116">LEFT(D116, MIN(FIND({0,1,2,3,4,5,6,7,8,9}, D116 &amp; "0123456789")) - 1)</f>
        <v>VD</v>
      </c>
      <c r="B116" s="1">
        <f t="shared" si="1"/>
        <v>84</v>
      </c>
      <c r="C116" s="1" t="s">
        <v>1173</v>
      </c>
      <c r="D116" s="1" t="s">
        <v>1365</v>
      </c>
      <c r="E116" s="26" t="s">
        <v>1174</v>
      </c>
      <c r="F116" s="16"/>
    </row>
    <row r="117" spans="1:6" ht="24.95" customHeight="1">
      <c r="A117" s="5" t="str">
        <f t="array" ref="A117">LEFT(D117, MIN(FIND({0,1,2,3,4,5,6,7,8,9}, D117 &amp; "0123456789")) - 1)</f>
        <v>VW</v>
      </c>
      <c r="B117" s="1">
        <f t="shared" si="1"/>
        <v>88</v>
      </c>
      <c r="C117" s="1" t="s">
        <v>1394</v>
      </c>
      <c r="D117" s="1" t="s">
        <v>1395</v>
      </c>
      <c r="E117" s="26" t="s">
        <v>1197</v>
      </c>
      <c r="F117" s="16"/>
    </row>
    <row r="118" spans="1:6" ht="24.95" customHeight="1">
      <c r="A118" s="5" t="str">
        <f t="array" ref="A118">LEFT(D118, MIN(FIND({0,1,2,3,4,5,6,7,8,9}, D118 &amp; "0123456789")) - 1)</f>
        <v>VW</v>
      </c>
      <c r="B118" s="1">
        <f t="shared" si="1"/>
        <v>90</v>
      </c>
      <c r="C118" s="1" t="s">
        <v>1396</v>
      </c>
      <c r="D118" s="1" t="s">
        <v>1397</v>
      </c>
      <c r="E118" s="41" t="s">
        <v>1443</v>
      </c>
      <c r="F118" s="16"/>
    </row>
    <row r="119" spans="1:6" ht="24.95" customHeight="1">
      <c r="A119" s="5" t="str">
        <f t="array" ref="A119">LEFT(D119, MIN(FIND({0,1,2,3,4,5,6,7,8,9}, D119 &amp; "0123456789")) - 1)</f>
        <v>VW</v>
      </c>
      <c r="B119" s="1">
        <f t="shared" si="1"/>
        <v>92</v>
      </c>
      <c r="C119" s="1" t="s">
        <v>1398</v>
      </c>
      <c r="D119" s="1" t="s">
        <v>1399</v>
      </c>
      <c r="E119" s="26" t="s">
        <v>1400</v>
      </c>
      <c r="F119" s="16"/>
    </row>
    <row r="120" spans="1:6" ht="24.95" customHeight="1">
      <c r="A120" s="5" t="str">
        <f t="array" ref="A120">LEFT(D120, MIN(FIND({0,1,2,3,4,5,6,7,8,9}, D120 &amp; "0123456789")) - 1)</f>
        <v>VW</v>
      </c>
      <c r="B120" s="1">
        <f t="shared" si="1"/>
        <v>94</v>
      </c>
      <c r="C120" s="1" t="s">
        <v>1401</v>
      </c>
      <c r="D120" s="1" t="s">
        <v>1402</v>
      </c>
      <c r="E120" s="26" t="s">
        <v>1403</v>
      </c>
      <c r="F120" s="16"/>
    </row>
    <row r="121" spans="1:6" ht="24.95" customHeight="1">
      <c r="A121" s="5" t="str">
        <f t="array" ref="A121">LEFT(D121, MIN(FIND({0,1,2,3,4,5,6,7,8,9}, D121 &amp; "0123456789")) - 1)</f>
        <v>VW</v>
      </c>
      <c r="B121" s="1">
        <f t="shared" si="1"/>
        <v>96</v>
      </c>
      <c r="C121" s="1" t="s">
        <v>1404</v>
      </c>
      <c r="D121" s="1" t="s">
        <v>1405</v>
      </c>
      <c r="E121" s="26" t="s">
        <v>1406</v>
      </c>
      <c r="F121" s="16"/>
    </row>
    <row r="122" spans="1:6" ht="24.95" customHeight="1">
      <c r="A122" s="5" t="str">
        <f t="array" ref="A122">LEFT(D122, MIN(FIND({0,1,2,3,4,5,6,7,8,9}, D122 &amp; "0123456789")) - 1)</f>
        <v>VW</v>
      </c>
      <c r="B122" s="1">
        <f t="shared" si="1"/>
        <v>98</v>
      </c>
      <c r="C122" s="1" t="s">
        <v>1407</v>
      </c>
      <c r="D122" s="1" t="s">
        <v>1408</v>
      </c>
      <c r="E122" s="26" t="s">
        <v>1409</v>
      </c>
      <c r="F122" s="16"/>
    </row>
    <row r="123" spans="1:6" ht="24.95" customHeight="1">
      <c r="A123" s="5" t="str">
        <f t="array" ref="A123">LEFT(D123, MIN(FIND({0,1,2,3,4,5,6,7,8,9}, D123 &amp; "0123456789")) - 1)</f>
        <v>VW</v>
      </c>
      <c r="B123" s="1">
        <f t="shared" si="1"/>
        <v>100</v>
      </c>
      <c r="C123" s="1" t="s">
        <v>1410</v>
      </c>
      <c r="D123" s="7" t="s">
        <v>695</v>
      </c>
      <c r="E123" s="26" t="s">
        <v>1411</v>
      </c>
      <c r="F123" s="16"/>
    </row>
    <row r="124" spans="1:6" ht="24.95" customHeight="1">
      <c r="A124" s="5" t="str">
        <f t="array" ref="A124">LEFT(D124, MIN(FIND({0,1,2,3,4,5,6,7,8,9}, D124 &amp; "0123456789")) - 1)</f>
        <v>VW</v>
      </c>
      <c r="B124" s="1">
        <f t="shared" si="1"/>
        <v>102</v>
      </c>
      <c r="C124" s="1" t="s">
        <v>1412</v>
      </c>
      <c r="D124" s="1" t="s">
        <v>1413</v>
      </c>
      <c r="E124" s="41" t="s">
        <v>1414</v>
      </c>
      <c r="F124" s="16"/>
    </row>
    <row r="125" spans="1:6" ht="24.95" customHeight="1">
      <c r="A125" s="5" t="str">
        <f t="array" ref="A125">LEFT(D125, MIN(FIND({0,1,2,3,4,5,6,7,8,9}, D125 &amp; "0123456789")) - 1)</f>
        <v>VW</v>
      </c>
      <c r="B125" s="1">
        <f t="shared" si="1"/>
        <v>104</v>
      </c>
      <c r="C125" s="1" t="s">
        <v>1415</v>
      </c>
      <c r="D125" s="1" t="s">
        <v>1416</v>
      </c>
      <c r="E125" s="26" t="s">
        <v>1417</v>
      </c>
      <c r="F125" s="1"/>
    </row>
    <row r="126" spans="1:6" ht="24.95" customHeight="1">
      <c r="A126" s="5" t="str">
        <f t="array" ref="A126">LEFT(D126, MIN(FIND({0,1,2,3,4,5,6,7,8,9}, D126 &amp; "0123456789")) - 1)</f>
        <v>VW</v>
      </c>
      <c r="B126" s="1">
        <f t="shared" si="1"/>
        <v>106</v>
      </c>
      <c r="C126" s="1" t="s">
        <v>1418</v>
      </c>
      <c r="D126" s="1" t="s">
        <v>1419</v>
      </c>
      <c r="E126" s="26" t="s">
        <v>1420</v>
      </c>
      <c r="F126" s="1"/>
    </row>
    <row r="127" spans="1:6" ht="24.95" customHeight="1">
      <c r="A127" s="5" t="str">
        <f t="array" ref="A127">LEFT(D127, MIN(FIND({0,1,2,3,4,5,6,7,8,9}, D127 &amp; "0123456789")) - 1)</f>
        <v>VW</v>
      </c>
      <c r="B127" s="1">
        <f t="shared" si="1"/>
        <v>244</v>
      </c>
      <c r="C127" s="1" t="s">
        <v>1421</v>
      </c>
      <c r="D127" s="1" t="s">
        <v>657</v>
      </c>
      <c r="E127" s="26" t="s">
        <v>1202</v>
      </c>
      <c r="F127" s="1"/>
    </row>
    <row r="128" spans="1:6" ht="24.95" customHeight="1">
      <c r="A128" s="5" t="str">
        <f t="array" ref="A128">LEFT(D128, MIN(FIND({0,1,2,3,4,5,6,7,8,9}, D128 &amp; "0123456789")) - 1)</f>
        <v>VD</v>
      </c>
      <c r="B128" s="1">
        <f t="shared" si="1"/>
        <v>300</v>
      </c>
      <c r="C128" s="1" t="s">
        <v>1136</v>
      </c>
      <c r="D128" s="7" t="s">
        <v>660</v>
      </c>
      <c r="E128" s="26" t="s">
        <v>1137</v>
      </c>
      <c r="F128" s="16"/>
    </row>
    <row r="129" spans="1:6" ht="24.95" customHeight="1">
      <c r="A129" s="5" t="str">
        <f t="array" ref="A129">LEFT(D129, MIN(FIND({0,1,2,3,4,5,6,7,8,9}, D129 &amp; "0123456789")) - 1)</f>
        <v>VD</v>
      </c>
      <c r="B129" s="1">
        <f t="shared" si="1"/>
        <v>304</v>
      </c>
      <c r="C129" s="1" t="s">
        <v>1138</v>
      </c>
      <c r="D129" s="1" t="s">
        <v>661</v>
      </c>
      <c r="E129" s="26" t="s">
        <v>1139</v>
      </c>
      <c r="F129" s="16"/>
    </row>
    <row r="130" spans="1:6" ht="24.95" customHeight="1">
      <c r="A130" s="5" t="str">
        <f t="array" ref="A130">LEFT(D130, MIN(FIND({0,1,2,3,4,5,6,7,8,9}, D130 &amp; "0123456789")) - 1)</f>
        <v>VD</v>
      </c>
      <c r="B130" s="1">
        <f t="shared" ref="B130:B193" si="2">VALUE(RIGHT(D130,LEN(D130)-LEN(A130)))</f>
        <v>308</v>
      </c>
      <c r="C130" s="1" t="s">
        <v>1140</v>
      </c>
      <c r="D130" s="1" t="s">
        <v>1366</v>
      </c>
      <c r="E130" s="26" t="s">
        <v>1141</v>
      </c>
      <c r="F130" s="16"/>
    </row>
    <row r="131" spans="1:6" ht="24.95" customHeight="1">
      <c r="A131" s="5" t="str">
        <f t="array" ref="A131">LEFT(D131, MIN(FIND({0,1,2,3,4,5,6,7,8,9}, D131 &amp; "0123456789")) - 1)</f>
        <v>VD</v>
      </c>
      <c r="B131" s="1">
        <f t="shared" si="2"/>
        <v>312</v>
      </c>
      <c r="C131" s="1" t="s">
        <v>1150</v>
      </c>
      <c r="D131" s="1" t="s">
        <v>1367</v>
      </c>
      <c r="E131" s="26" t="s">
        <v>1368</v>
      </c>
      <c r="F131" s="16"/>
    </row>
    <row r="132" spans="1:6" ht="24.95" customHeight="1">
      <c r="A132" s="5" t="str">
        <f t="array" ref="A132">LEFT(D132, MIN(FIND({0,1,2,3,4,5,6,7,8,9}, D132 &amp; "0123456789")) - 1)</f>
        <v>VD</v>
      </c>
      <c r="B132" s="1">
        <f t="shared" si="2"/>
        <v>316</v>
      </c>
      <c r="C132" s="1" t="s">
        <v>1152</v>
      </c>
      <c r="D132" s="1" t="s">
        <v>1369</v>
      </c>
      <c r="E132" s="26" t="s">
        <v>1370</v>
      </c>
      <c r="F132" s="16"/>
    </row>
    <row r="133" spans="1:6" ht="24.95" customHeight="1">
      <c r="A133" s="5" t="str">
        <f t="array" ref="A133">LEFT(D133, MIN(FIND({0,1,2,3,4,5,6,7,8,9}, D133 &amp; "0123456789")) - 1)</f>
        <v>VD</v>
      </c>
      <c r="B133" s="1">
        <f t="shared" si="2"/>
        <v>320</v>
      </c>
      <c r="C133" s="1" t="s">
        <v>1371</v>
      </c>
      <c r="D133" s="1" t="s">
        <v>1372</v>
      </c>
      <c r="E133" s="26" t="s">
        <v>1373</v>
      </c>
      <c r="F133" s="16"/>
    </row>
    <row r="134" spans="1:6" ht="24.95" customHeight="1">
      <c r="A134" s="5" t="str">
        <f t="array" ref="A134">LEFT(D134, MIN(FIND({0,1,2,3,4,5,6,7,8,9}, D134 &amp; "0123456789")) - 1)</f>
        <v>VD</v>
      </c>
      <c r="B134" s="1">
        <f t="shared" si="2"/>
        <v>324</v>
      </c>
      <c r="C134" s="1" t="s">
        <v>1374</v>
      </c>
      <c r="D134" s="1" t="s">
        <v>1375</v>
      </c>
      <c r="E134" s="26" t="s">
        <v>1376</v>
      </c>
      <c r="F134" s="16"/>
    </row>
    <row r="135" spans="1:6" ht="24.95" customHeight="1">
      <c r="A135" s="5" t="str">
        <f t="array" ref="A135">LEFT(D135, MIN(FIND({0,1,2,3,4,5,6,7,8,9}, D135 &amp; "0123456789")) - 1)</f>
        <v>VD</v>
      </c>
      <c r="B135" s="1">
        <f t="shared" si="2"/>
        <v>328</v>
      </c>
      <c r="C135" s="1" t="s">
        <v>1377</v>
      </c>
      <c r="D135" s="1" t="s">
        <v>1378</v>
      </c>
      <c r="E135" s="26" t="s">
        <v>1379</v>
      </c>
      <c r="F135" s="16"/>
    </row>
    <row r="136" spans="1:6" ht="24.95" customHeight="1">
      <c r="A136" s="5" t="str">
        <f t="array" ref="A136">LEFT(D136, MIN(FIND({0,1,2,3,4,5,6,7,8,9}, D136 &amp; "0123456789")) - 1)</f>
        <v>VD</v>
      </c>
      <c r="B136" s="1">
        <f t="shared" si="2"/>
        <v>332</v>
      </c>
      <c r="C136" s="1" t="s">
        <v>1380</v>
      </c>
      <c r="D136" s="1" t="s">
        <v>1381</v>
      </c>
      <c r="E136" s="26" t="s">
        <v>1382</v>
      </c>
      <c r="F136" s="16"/>
    </row>
    <row r="137" spans="1:6" ht="24.95" customHeight="1">
      <c r="A137" s="5" t="str">
        <f t="array" ref="A137">LEFT(D137, MIN(FIND({0,1,2,3,4,5,6,7,8,9}, D137 &amp; "0123456789")) - 1)</f>
        <v>VD</v>
      </c>
      <c r="B137" s="1">
        <f t="shared" si="2"/>
        <v>336</v>
      </c>
      <c r="C137" s="1" t="s">
        <v>1160</v>
      </c>
      <c r="D137" s="1" t="s">
        <v>1383</v>
      </c>
      <c r="E137" s="26" t="s">
        <v>1384</v>
      </c>
      <c r="F137" s="16"/>
    </row>
    <row r="138" spans="1:6" ht="24.95" customHeight="1">
      <c r="A138" s="5" t="str">
        <f t="array" ref="A138">LEFT(D138, MIN(FIND({0,1,2,3,4,5,6,7,8,9}, D138 &amp; "0123456789")) - 1)</f>
        <v>VD</v>
      </c>
      <c r="B138" s="1">
        <f t="shared" si="2"/>
        <v>340</v>
      </c>
      <c r="C138" s="1" t="s">
        <v>1168</v>
      </c>
      <c r="D138" s="1" t="s">
        <v>1385</v>
      </c>
      <c r="E138" s="26" t="s">
        <v>176</v>
      </c>
      <c r="F138" s="16"/>
    </row>
    <row r="139" spans="1:6" ht="24.95" customHeight="1">
      <c r="A139" s="5" t="str">
        <f t="array" ref="A139">LEFT(D139, MIN(FIND({0,1,2,3,4,5,6,7,8,9}, D139 &amp; "0123456789")) - 1)</f>
        <v>VD</v>
      </c>
      <c r="B139" s="1">
        <f t="shared" si="2"/>
        <v>344</v>
      </c>
      <c r="C139" s="1" t="s">
        <v>963</v>
      </c>
      <c r="D139" s="1" t="s">
        <v>1249</v>
      </c>
      <c r="E139" s="26" t="s">
        <v>1386</v>
      </c>
      <c r="F139" s="16"/>
    </row>
    <row r="140" spans="1:6" ht="24.95" customHeight="1">
      <c r="A140" s="5" t="str">
        <f t="array" ref="A140">LEFT(D140, MIN(FIND({0,1,2,3,4,5,6,7,8,9}, D140 &amp; "0123456789")) - 1)</f>
        <v>VD</v>
      </c>
      <c r="B140" s="1">
        <f t="shared" si="2"/>
        <v>348</v>
      </c>
      <c r="C140" s="6" t="s">
        <v>964</v>
      </c>
      <c r="D140" s="7" t="s">
        <v>1250</v>
      </c>
      <c r="E140" s="26" t="s">
        <v>1387</v>
      </c>
      <c r="F140" s="1"/>
    </row>
    <row r="141" spans="1:6" ht="24.95" customHeight="1">
      <c r="A141" s="5" t="str">
        <f t="array" ref="A141">LEFT(D141, MIN(FIND({0,1,2,3,4,5,6,7,8,9}, D141 &amp; "0123456789")) - 1)</f>
        <v>VD</v>
      </c>
      <c r="B141" s="1">
        <f t="shared" si="2"/>
        <v>352</v>
      </c>
      <c r="C141" s="1" t="s">
        <v>965</v>
      </c>
      <c r="D141" s="7" t="s">
        <v>1251</v>
      </c>
      <c r="E141" s="26" t="s">
        <v>1213</v>
      </c>
      <c r="F141" s="16"/>
    </row>
    <row r="142" spans="1:6" ht="24.95" customHeight="1">
      <c r="A142" s="5" t="str">
        <f t="array" ref="A142">LEFT(D142, MIN(FIND({0,1,2,3,4,5,6,7,8,9}, D142 &amp; "0123456789")) - 1)</f>
        <v>VD</v>
      </c>
      <c r="B142" s="1">
        <f t="shared" si="2"/>
        <v>356</v>
      </c>
      <c r="C142" s="1" t="s">
        <v>966</v>
      </c>
      <c r="D142" s="1" t="s">
        <v>1252</v>
      </c>
      <c r="E142" s="26" t="s">
        <v>1214</v>
      </c>
      <c r="F142" s="16"/>
    </row>
    <row r="143" spans="1:6" ht="24.95" customHeight="1">
      <c r="A143" s="5" t="str">
        <f t="array" ref="A143">LEFT(D143, MIN(FIND({0,1,2,3,4,5,6,7,8,9}, D143 &amp; "0123456789")) - 1)</f>
        <v>VD</v>
      </c>
      <c r="B143" s="1">
        <f t="shared" si="2"/>
        <v>360</v>
      </c>
      <c r="C143" s="1" t="s">
        <v>967</v>
      </c>
      <c r="D143" s="1" t="s">
        <v>1253</v>
      </c>
      <c r="E143" s="26" t="s">
        <v>1215</v>
      </c>
      <c r="F143" s="16"/>
    </row>
    <row r="144" spans="1:6" ht="24.95" customHeight="1">
      <c r="A144" s="5" t="str">
        <f t="array" ref="A144">LEFT(D144, MIN(FIND({0,1,2,3,4,5,6,7,8,9}, D144 &amp; "0123456789")) - 1)</f>
        <v>VD</v>
      </c>
      <c r="B144" s="1">
        <f t="shared" si="2"/>
        <v>364</v>
      </c>
      <c r="C144" s="1" t="s">
        <v>968</v>
      </c>
      <c r="D144" s="1" t="s">
        <v>1254</v>
      </c>
      <c r="E144" s="26" t="s">
        <v>1216</v>
      </c>
      <c r="F144" s="16"/>
    </row>
    <row r="145" spans="1:6" ht="24.95" customHeight="1">
      <c r="A145" s="5" t="str">
        <f t="array" ref="A145">LEFT(D145, MIN(FIND({0,1,2,3,4,5,6,7,8,9}, D145 &amp; "0123456789")) - 1)</f>
        <v>VD</v>
      </c>
      <c r="B145" s="1">
        <f t="shared" si="2"/>
        <v>368</v>
      </c>
      <c r="C145" s="1" t="s">
        <v>969</v>
      </c>
      <c r="D145" s="1" t="s">
        <v>1255</v>
      </c>
      <c r="E145" s="26" t="s">
        <v>1217</v>
      </c>
      <c r="F145" s="16"/>
    </row>
    <row r="146" spans="1:6" ht="24.95" customHeight="1">
      <c r="A146" s="5" t="str">
        <f t="array" ref="A146">LEFT(D146, MIN(FIND({0,1,2,3,4,5,6,7,8,9}, D146 &amp; "0123456789")) - 1)</f>
        <v>VD</v>
      </c>
      <c r="B146" s="1">
        <f t="shared" si="2"/>
        <v>372</v>
      </c>
      <c r="C146" s="1" t="s">
        <v>970</v>
      </c>
      <c r="D146" s="7" t="s">
        <v>1256</v>
      </c>
      <c r="E146" s="26" t="s">
        <v>1218</v>
      </c>
      <c r="F146" s="16"/>
    </row>
    <row r="147" spans="1:6" ht="24.95" customHeight="1">
      <c r="A147" s="5" t="str">
        <f t="array" ref="A147">LEFT(D147, MIN(FIND({0,1,2,3,4,5,6,7,8,9}, D147 &amp; "0123456789")) - 1)</f>
        <v>VD</v>
      </c>
      <c r="B147" s="1">
        <f t="shared" si="2"/>
        <v>376</v>
      </c>
      <c r="C147" s="1" t="s">
        <v>971</v>
      </c>
      <c r="D147" s="1" t="s">
        <v>1257</v>
      </c>
      <c r="E147" s="26" t="s">
        <v>1219</v>
      </c>
      <c r="F147" s="16"/>
    </row>
    <row r="148" spans="1:6" ht="24.95" customHeight="1">
      <c r="A148" s="5" t="str">
        <f t="array" ref="A148">LEFT(D148, MIN(FIND({0,1,2,3,4,5,6,7,8,9}, D148 &amp; "0123456789")) - 1)</f>
        <v>VD</v>
      </c>
      <c r="B148" s="1">
        <f t="shared" si="2"/>
        <v>380</v>
      </c>
      <c r="C148" s="1" t="s">
        <v>972</v>
      </c>
      <c r="D148" s="1" t="s">
        <v>1258</v>
      </c>
      <c r="E148" s="26" t="s">
        <v>1220</v>
      </c>
      <c r="F148" s="16"/>
    </row>
    <row r="149" spans="1:6" ht="24.95" customHeight="1">
      <c r="A149" s="5" t="str">
        <f t="array" ref="A149">LEFT(D149, MIN(FIND({0,1,2,3,4,5,6,7,8,9}, D149 &amp; "0123456789")) - 1)</f>
        <v>VD</v>
      </c>
      <c r="B149" s="1">
        <f t="shared" si="2"/>
        <v>384</v>
      </c>
      <c r="C149" s="1" t="s">
        <v>973</v>
      </c>
      <c r="D149" s="1" t="s">
        <v>1259</v>
      </c>
      <c r="E149" s="26" t="s">
        <v>1221</v>
      </c>
      <c r="F149" s="16"/>
    </row>
    <row r="150" spans="1:6" ht="24.95" customHeight="1">
      <c r="A150" s="5" t="str">
        <f t="array" ref="A150">LEFT(D150, MIN(FIND({0,1,2,3,4,5,6,7,8,9}, D150 &amp; "0123456789")) - 1)</f>
        <v>VD</v>
      </c>
      <c r="B150" s="1">
        <f t="shared" si="2"/>
        <v>388</v>
      </c>
      <c r="C150" s="1" t="s">
        <v>974</v>
      </c>
      <c r="D150" s="1" t="s">
        <v>1260</v>
      </c>
      <c r="E150" s="26" t="s">
        <v>1222</v>
      </c>
      <c r="F150" s="16"/>
    </row>
    <row r="151" spans="1:6" ht="24.95" customHeight="1">
      <c r="A151" s="5" t="str">
        <f t="array" ref="A151">LEFT(D151, MIN(FIND({0,1,2,3,4,5,6,7,8,9}, D151 &amp; "0123456789")) - 1)</f>
        <v>VD</v>
      </c>
      <c r="B151" s="1">
        <f t="shared" si="2"/>
        <v>392</v>
      </c>
      <c r="C151" s="1" t="s">
        <v>975</v>
      </c>
      <c r="D151" s="1" t="s">
        <v>1261</v>
      </c>
      <c r="E151" s="26" t="s">
        <v>1223</v>
      </c>
      <c r="F151" s="16"/>
    </row>
    <row r="152" spans="1:6" ht="24.95" customHeight="1">
      <c r="A152" s="5" t="str">
        <f t="array" ref="A152">LEFT(D152, MIN(FIND({0,1,2,3,4,5,6,7,8,9}, D152 &amp; "0123456789")) - 1)</f>
        <v>VD</v>
      </c>
      <c r="B152" s="1">
        <f t="shared" si="2"/>
        <v>396</v>
      </c>
      <c r="C152" s="1" t="s">
        <v>976</v>
      </c>
      <c r="D152" s="1" t="s">
        <v>1262</v>
      </c>
      <c r="E152" s="26" t="s">
        <v>1224</v>
      </c>
      <c r="F152" s="16"/>
    </row>
    <row r="153" spans="1:6" ht="24.95" customHeight="1">
      <c r="A153" s="5" t="str">
        <f t="array" ref="A153">LEFT(D153, MIN(FIND({0,1,2,3,4,5,6,7,8,9}, D153 &amp; "0123456789")) - 1)</f>
        <v>VD</v>
      </c>
      <c r="B153" s="1">
        <f t="shared" si="2"/>
        <v>400</v>
      </c>
      <c r="C153" s="1" t="s">
        <v>977</v>
      </c>
      <c r="D153" s="1" t="s">
        <v>1263</v>
      </c>
      <c r="E153" s="26" t="s">
        <v>1225</v>
      </c>
      <c r="F153" s="16"/>
    </row>
    <row r="154" spans="1:6" ht="24.95" customHeight="1">
      <c r="A154" s="5" t="str">
        <f t="array" ref="A154">LEFT(D154, MIN(FIND({0,1,2,3,4,5,6,7,8,9}, D154 &amp; "0123456789")) - 1)</f>
        <v>VD</v>
      </c>
      <c r="B154" s="1">
        <f t="shared" si="2"/>
        <v>404</v>
      </c>
      <c r="C154" s="1" t="s">
        <v>978</v>
      </c>
      <c r="D154" s="7" t="s">
        <v>1264</v>
      </c>
      <c r="E154" s="26" t="s">
        <v>1226</v>
      </c>
      <c r="F154" s="16"/>
    </row>
    <row r="155" spans="1:6" ht="24.95" customHeight="1">
      <c r="A155" s="5" t="str">
        <f t="array" ref="A155">LEFT(D155, MIN(FIND({0,1,2,3,4,5,6,7,8,9}, D155 &amp; "0123456789")) - 1)</f>
        <v>VD</v>
      </c>
      <c r="B155" s="1">
        <f t="shared" si="2"/>
        <v>408</v>
      </c>
      <c r="C155" s="1" t="s">
        <v>979</v>
      </c>
      <c r="D155" s="1" t="s">
        <v>1265</v>
      </c>
      <c r="E155" s="26" t="s">
        <v>1227</v>
      </c>
      <c r="F155" s="16"/>
    </row>
    <row r="156" spans="1:6" ht="24.95" customHeight="1">
      <c r="A156" s="5" t="str">
        <f t="array" ref="A156">LEFT(D156, MIN(FIND({0,1,2,3,4,5,6,7,8,9}, D156 &amp; "0123456789")) - 1)</f>
        <v>VD</v>
      </c>
      <c r="B156" s="1">
        <f t="shared" si="2"/>
        <v>412</v>
      </c>
      <c r="C156" s="1" t="s">
        <v>980</v>
      </c>
      <c r="D156" s="1" t="s">
        <v>1266</v>
      </c>
      <c r="E156" s="26" t="s">
        <v>1228</v>
      </c>
      <c r="F156" s="16"/>
    </row>
    <row r="157" spans="1:6" ht="24.95" customHeight="1">
      <c r="A157" s="5" t="str">
        <f t="array" ref="A157">LEFT(D157, MIN(FIND({0,1,2,3,4,5,6,7,8,9}, D157 &amp; "0123456789")) - 1)</f>
        <v>VD</v>
      </c>
      <c r="B157" s="1">
        <f t="shared" si="2"/>
        <v>416</v>
      </c>
      <c r="C157" s="1" t="s">
        <v>981</v>
      </c>
      <c r="D157" s="1" t="s">
        <v>1267</v>
      </c>
      <c r="E157" s="26" t="s">
        <v>1229</v>
      </c>
      <c r="F157" s="16"/>
    </row>
    <row r="158" spans="1:6" ht="24.95" customHeight="1">
      <c r="A158" s="5" t="str">
        <f t="array" ref="A158">LEFT(D158, MIN(FIND({0,1,2,3,4,5,6,7,8,9}, D158 &amp; "0123456789")) - 1)</f>
        <v>VD</v>
      </c>
      <c r="B158" s="1">
        <f t="shared" si="2"/>
        <v>420</v>
      </c>
      <c r="C158" s="1" t="s">
        <v>982</v>
      </c>
      <c r="D158" s="1" t="s">
        <v>1268</v>
      </c>
      <c r="E158" s="26" t="s">
        <v>1230</v>
      </c>
      <c r="F158" s="16"/>
    </row>
    <row r="159" spans="1:6" ht="24.95" customHeight="1">
      <c r="A159" s="5" t="str">
        <f t="array" ref="A159">LEFT(D159, MIN(FIND({0,1,2,3,4,5,6,7,8,9}, D159 &amp; "0123456789")) - 1)</f>
        <v>VD</v>
      </c>
      <c r="B159" s="1">
        <f t="shared" si="2"/>
        <v>424</v>
      </c>
      <c r="C159" s="1" t="s">
        <v>983</v>
      </c>
      <c r="D159" s="1" t="s">
        <v>1269</v>
      </c>
      <c r="E159" s="26" t="s">
        <v>1388</v>
      </c>
      <c r="F159" s="16"/>
    </row>
    <row r="160" spans="1:6" ht="24.95" customHeight="1">
      <c r="A160" s="5" t="str">
        <f t="array" ref="A160">LEFT(D160, MIN(FIND({0,1,2,3,4,5,6,7,8,9}, D160 &amp; "0123456789")) - 1)</f>
        <v>VD</v>
      </c>
      <c r="B160" s="1">
        <f t="shared" si="2"/>
        <v>428</v>
      </c>
      <c r="C160" s="1" t="s">
        <v>984</v>
      </c>
      <c r="D160" s="1" t="s">
        <v>1270</v>
      </c>
      <c r="E160" s="26" t="s">
        <v>1389</v>
      </c>
      <c r="F160" s="16"/>
    </row>
    <row r="161" spans="1:6" ht="24.95" customHeight="1">
      <c r="A161" s="5" t="str">
        <f t="array" ref="A161">LEFT(D161, MIN(FIND({0,1,2,3,4,5,6,7,8,9}, D161 &amp; "0123456789")) - 1)</f>
        <v>VD</v>
      </c>
      <c r="B161" s="1">
        <f t="shared" si="2"/>
        <v>432</v>
      </c>
      <c r="C161" s="1" t="s">
        <v>985</v>
      </c>
      <c r="D161" s="1" t="s">
        <v>1271</v>
      </c>
      <c r="E161" s="26" t="s">
        <v>1231</v>
      </c>
      <c r="F161" s="16"/>
    </row>
    <row r="162" spans="1:6" ht="24.95" customHeight="1">
      <c r="A162" s="5" t="str">
        <f t="array" ref="A162">LEFT(D162, MIN(FIND({0,1,2,3,4,5,6,7,8,9}, D162 &amp; "0123456789")) - 1)</f>
        <v>VD</v>
      </c>
      <c r="B162" s="1">
        <f t="shared" si="2"/>
        <v>436</v>
      </c>
      <c r="C162" s="1" t="s">
        <v>986</v>
      </c>
      <c r="D162" s="7" t="s">
        <v>1272</v>
      </c>
      <c r="E162" s="26" t="s">
        <v>1232</v>
      </c>
      <c r="F162" s="16"/>
    </row>
    <row r="163" spans="1:6" ht="24.95" customHeight="1">
      <c r="A163" s="5" t="str">
        <f t="array" ref="A163">LEFT(D163, MIN(FIND({0,1,2,3,4,5,6,7,8,9}, D163 &amp; "0123456789")) - 1)</f>
        <v>VD</v>
      </c>
      <c r="B163" s="1">
        <f t="shared" si="2"/>
        <v>440</v>
      </c>
      <c r="C163" s="1" t="s">
        <v>987</v>
      </c>
      <c r="D163" s="1" t="s">
        <v>1273</v>
      </c>
      <c r="E163" s="26" t="s">
        <v>1233</v>
      </c>
      <c r="F163" s="16"/>
    </row>
    <row r="164" spans="1:6" ht="24.95" customHeight="1">
      <c r="A164" s="5" t="str">
        <f t="array" ref="A164">LEFT(D164, MIN(FIND({0,1,2,3,4,5,6,7,8,9}, D164 &amp; "0123456789")) - 1)</f>
        <v>VD</v>
      </c>
      <c r="B164" s="1">
        <f t="shared" si="2"/>
        <v>444</v>
      </c>
      <c r="C164" s="1" t="s">
        <v>988</v>
      </c>
      <c r="D164" s="1" t="s">
        <v>1274</v>
      </c>
      <c r="E164" s="26" t="s">
        <v>1234</v>
      </c>
      <c r="F164" s="16"/>
    </row>
    <row r="165" spans="1:6" ht="24.95" customHeight="1">
      <c r="A165" s="5" t="str">
        <f t="array" ref="A165">LEFT(D165, MIN(FIND({0,1,2,3,4,5,6,7,8,9}, D165 &amp; "0123456789")) - 1)</f>
        <v>VD</v>
      </c>
      <c r="B165" s="1">
        <f t="shared" si="2"/>
        <v>448</v>
      </c>
      <c r="C165" s="1" t="s">
        <v>989</v>
      </c>
      <c r="D165" s="1" t="s">
        <v>1275</v>
      </c>
      <c r="E165" s="26" t="s">
        <v>1235</v>
      </c>
      <c r="F165" s="16"/>
    </row>
    <row r="166" spans="1:6" ht="24.95" customHeight="1">
      <c r="A166" s="5" t="str">
        <f t="array" ref="A166">LEFT(D166, MIN(FIND({0,1,2,3,4,5,6,7,8,9}, D166 &amp; "0123456789")) - 1)</f>
        <v>VD</v>
      </c>
      <c r="B166" s="1">
        <f t="shared" si="2"/>
        <v>452</v>
      </c>
      <c r="C166" s="1" t="s">
        <v>990</v>
      </c>
      <c r="D166" s="1" t="s">
        <v>1276</v>
      </c>
      <c r="E166" s="26" t="s">
        <v>1236</v>
      </c>
      <c r="F166" s="16"/>
    </row>
    <row r="167" spans="1:6" ht="24.95" customHeight="1">
      <c r="A167" s="5" t="str">
        <f t="array" ref="A167">LEFT(D167, MIN(FIND({0,1,2,3,4,5,6,7,8,9}, D167 &amp; "0123456789")) - 1)</f>
        <v>VD</v>
      </c>
      <c r="B167" s="1">
        <f t="shared" si="2"/>
        <v>456</v>
      </c>
      <c r="C167" s="1" t="s">
        <v>991</v>
      </c>
      <c r="D167" s="1" t="s">
        <v>1277</v>
      </c>
      <c r="E167" s="26" t="s">
        <v>1237</v>
      </c>
      <c r="F167" s="16"/>
    </row>
    <row r="168" spans="1:6" ht="24.95" customHeight="1">
      <c r="A168" s="5" t="str">
        <f t="array" ref="A168">LEFT(D168, MIN(FIND({0,1,2,3,4,5,6,7,8,9}, D168 &amp; "0123456789")) - 1)</f>
        <v>VD</v>
      </c>
      <c r="B168" s="1">
        <f t="shared" si="2"/>
        <v>460</v>
      </c>
      <c r="C168" s="1" t="s">
        <v>992</v>
      </c>
      <c r="D168" s="1" t="s">
        <v>1278</v>
      </c>
      <c r="E168" s="26" t="s">
        <v>1238</v>
      </c>
      <c r="F168" s="16"/>
    </row>
    <row r="169" spans="1:6" ht="24.95" customHeight="1">
      <c r="A169" s="5" t="str">
        <f t="array" ref="A169">LEFT(D169, MIN(FIND({0,1,2,3,4,5,6,7,8,9}, D169 &amp; "0123456789")) - 1)</f>
        <v>VD</v>
      </c>
      <c r="B169" s="1">
        <f t="shared" si="2"/>
        <v>464</v>
      </c>
      <c r="C169" s="1" t="s">
        <v>993</v>
      </c>
      <c r="D169" s="1" t="s">
        <v>1279</v>
      </c>
      <c r="E169" s="26" t="s">
        <v>1239</v>
      </c>
      <c r="F169" s="16"/>
    </row>
    <row r="170" spans="1:6" ht="24.95" customHeight="1">
      <c r="A170" s="5" t="str">
        <f t="array" ref="A170">LEFT(D170, MIN(FIND({0,1,2,3,4,5,6,7,8,9}, D170 &amp; "0123456789")) - 1)</f>
        <v>VD</v>
      </c>
      <c r="B170" s="1">
        <f t="shared" si="2"/>
        <v>468</v>
      </c>
      <c r="C170" s="1" t="s">
        <v>994</v>
      </c>
      <c r="D170" s="7" t="s">
        <v>1280</v>
      </c>
      <c r="E170" s="26" t="s">
        <v>1240</v>
      </c>
      <c r="F170" s="16"/>
    </row>
    <row r="171" spans="1:6" ht="24.95" customHeight="1">
      <c r="A171" s="5" t="str">
        <f t="array" ref="A171">LEFT(D171, MIN(FIND({0,1,2,3,4,5,6,7,8,9}, D171 &amp; "0123456789")) - 1)</f>
        <v>VD</v>
      </c>
      <c r="B171" s="1">
        <f t="shared" si="2"/>
        <v>472</v>
      </c>
      <c r="C171" s="1" t="s">
        <v>995</v>
      </c>
      <c r="D171" s="1" t="s">
        <v>1281</v>
      </c>
      <c r="E171" s="26" t="s">
        <v>1241</v>
      </c>
      <c r="F171" s="16"/>
    </row>
    <row r="172" spans="1:6" ht="24.95" customHeight="1">
      <c r="A172" s="5" t="str">
        <f t="array" ref="A172">LEFT(D172, MIN(FIND({0,1,2,3,4,5,6,7,8,9}, D172 &amp; "0123456789")) - 1)</f>
        <v>VD</v>
      </c>
      <c r="B172" s="1">
        <f t="shared" si="2"/>
        <v>476</v>
      </c>
      <c r="C172" s="1" t="s">
        <v>996</v>
      </c>
      <c r="D172" s="1" t="s">
        <v>1282</v>
      </c>
      <c r="E172" s="26" t="s">
        <v>1242</v>
      </c>
      <c r="F172" s="16"/>
    </row>
    <row r="173" spans="1:6" ht="24.95" customHeight="1">
      <c r="A173" s="5" t="str">
        <f t="array" ref="A173">LEFT(D173, MIN(FIND({0,1,2,3,4,5,6,7,8,9}, D173 &amp; "0123456789")) - 1)</f>
        <v>VD</v>
      </c>
      <c r="B173" s="1">
        <f t="shared" si="2"/>
        <v>480</v>
      </c>
      <c r="C173" s="1" t="s">
        <v>997</v>
      </c>
      <c r="D173" s="1" t="s">
        <v>1283</v>
      </c>
      <c r="E173" s="26" t="s">
        <v>1243</v>
      </c>
      <c r="F173" s="16"/>
    </row>
    <row r="174" spans="1:6" ht="24.95" customHeight="1">
      <c r="A174" s="5" t="str">
        <f t="array" ref="A174">LEFT(D174, MIN(FIND({0,1,2,3,4,5,6,7,8,9}, D174 &amp; "0123456789")) - 1)</f>
        <v>VD</v>
      </c>
      <c r="B174" s="1">
        <f t="shared" si="2"/>
        <v>484</v>
      </c>
      <c r="C174" s="1" t="s">
        <v>998</v>
      </c>
      <c r="D174" s="1" t="s">
        <v>1284</v>
      </c>
      <c r="E174" s="26" t="s">
        <v>1244</v>
      </c>
      <c r="F174" s="16"/>
    </row>
    <row r="175" spans="1:6" ht="24.95" customHeight="1">
      <c r="A175" s="5" t="str">
        <f t="array" ref="A175">LEFT(D175, MIN(FIND({0,1,2,3,4,5,6,7,8,9}, D175 &amp; "0123456789")) - 1)</f>
        <v>VD</v>
      </c>
      <c r="B175" s="1">
        <f t="shared" si="2"/>
        <v>488</v>
      </c>
      <c r="C175" s="1" t="s">
        <v>999</v>
      </c>
      <c r="D175" s="1" t="s">
        <v>1285</v>
      </c>
      <c r="E175" s="26" t="s">
        <v>1245</v>
      </c>
      <c r="F175" s="16"/>
    </row>
    <row r="176" spans="1:6" ht="24.95" customHeight="1">
      <c r="A176" s="5" t="str">
        <f t="array" ref="A176">LEFT(D176, MIN(FIND({0,1,2,3,4,5,6,7,8,9}, D176 &amp; "0123456789")) - 1)</f>
        <v>VD</v>
      </c>
      <c r="B176" s="1">
        <f t="shared" si="2"/>
        <v>492</v>
      </c>
      <c r="C176" s="1" t="s">
        <v>1000</v>
      </c>
      <c r="D176" s="1" t="s">
        <v>1286</v>
      </c>
      <c r="E176" s="26" t="s">
        <v>1246</v>
      </c>
      <c r="F176" s="16"/>
    </row>
    <row r="177" spans="1:6" ht="24.95" customHeight="1">
      <c r="A177" s="5" t="str">
        <f t="array" ref="A177">LEFT(D177, MIN(FIND({0,1,2,3,4,5,6,7,8,9}, D177 &amp; "0123456789")) - 1)</f>
        <v>VD</v>
      </c>
      <c r="B177" s="1">
        <f t="shared" si="2"/>
        <v>496</v>
      </c>
      <c r="C177" s="1" t="s">
        <v>1001</v>
      </c>
      <c r="D177" s="1" t="s">
        <v>1287</v>
      </c>
      <c r="E177" s="26" t="s">
        <v>1247</v>
      </c>
      <c r="F177" s="16"/>
    </row>
    <row r="178" spans="1:6" ht="24.95" customHeight="1">
      <c r="A178" s="5" t="str">
        <f t="array" ref="A178">LEFT(D178, MIN(FIND({0,1,2,3,4,5,6,7,8,9}, D178 &amp; "0123456789")) - 1)</f>
        <v>VD</v>
      </c>
      <c r="B178" s="1">
        <f t="shared" si="2"/>
        <v>500</v>
      </c>
      <c r="C178" s="1" t="s">
        <v>1002</v>
      </c>
      <c r="D178" s="7" t="s">
        <v>19</v>
      </c>
      <c r="E178" s="26" t="s">
        <v>1248</v>
      </c>
      <c r="F178" s="16"/>
    </row>
    <row r="179" spans="1:6" ht="24.95" customHeight="1">
      <c r="A179" s="5" t="str">
        <f t="array" ref="A179">LEFT(D179, MIN(FIND({0,1,2,3,4,5,6,7,8,9}, D179 &amp; "0123456789")) - 1)</f>
        <v>VD</v>
      </c>
      <c r="B179" s="1">
        <f t="shared" si="2"/>
        <v>504</v>
      </c>
      <c r="C179" s="44" t="s">
        <v>1456</v>
      </c>
      <c r="D179" s="1" t="s">
        <v>39</v>
      </c>
      <c r="E179" s="26" t="s">
        <v>1004</v>
      </c>
      <c r="F179" s="16"/>
    </row>
    <row r="180" spans="1:6" ht="24.95" customHeight="1">
      <c r="A180" s="5" t="str">
        <f t="array" ref="A180">LEFT(D180, MIN(FIND({0,1,2,3,4,5,6,7,8,9}, D180 &amp; "0123456789")) - 1)</f>
        <v>VD</v>
      </c>
      <c r="B180" s="1">
        <f t="shared" si="2"/>
        <v>508</v>
      </c>
      <c r="C180" s="44" t="s">
        <v>1457</v>
      </c>
      <c r="D180" s="1" t="s">
        <v>53</v>
      </c>
      <c r="E180" s="26" t="s">
        <v>1003</v>
      </c>
      <c r="F180" s="16"/>
    </row>
    <row r="181" spans="1:6" ht="24.95" customHeight="1">
      <c r="A181" s="5" t="str">
        <f t="array" ref="A181">LEFT(D181, MIN(FIND({0,1,2,3,4,5,6,7,8,9}, D181 &amp; "0123456789")) - 1)</f>
        <v>VD</v>
      </c>
      <c r="B181" s="1">
        <f t="shared" si="2"/>
        <v>512</v>
      </c>
      <c r="C181" s="44" t="s">
        <v>1458</v>
      </c>
      <c r="D181" s="1" t="s">
        <v>62</v>
      </c>
      <c r="E181" s="26" t="s">
        <v>1005</v>
      </c>
      <c r="F181" s="16"/>
    </row>
    <row r="182" spans="1:6" ht="24.95" customHeight="1">
      <c r="A182" s="5" t="str">
        <f t="array" ref="A182">LEFT(D182, MIN(FIND({0,1,2,3,4,5,6,7,8,9}, D182 &amp; "0123456789")) - 1)</f>
        <v>VD</v>
      </c>
      <c r="B182" s="1">
        <f t="shared" si="2"/>
        <v>516</v>
      </c>
      <c r="C182" s="44" t="s">
        <v>1459</v>
      </c>
      <c r="D182" s="1" t="s">
        <v>72</v>
      </c>
      <c r="E182" s="26" t="s">
        <v>1006</v>
      </c>
      <c r="F182" s="16"/>
    </row>
    <row r="183" spans="1:6" ht="24.95" customHeight="1">
      <c r="A183" s="5" t="str">
        <f t="array" ref="A183">LEFT(D183, MIN(FIND({0,1,2,3,4,5,6,7,8,9}, D183 &amp; "0123456789")) - 1)</f>
        <v>VD</v>
      </c>
      <c r="B183" s="1">
        <f t="shared" si="2"/>
        <v>520</v>
      </c>
      <c r="C183" s="44" t="s">
        <v>1460</v>
      </c>
      <c r="D183" s="1" t="s">
        <v>83</v>
      </c>
      <c r="E183" s="26" t="s">
        <v>1007</v>
      </c>
      <c r="F183" s="16"/>
    </row>
    <row r="184" spans="1:6" ht="24.95" customHeight="1">
      <c r="A184" s="5" t="str">
        <f t="array" ref="A184">LEFT(D184, MIN(FIND({0,1,2,3,4,5,6,7,8,9}, D184 &amp; "0123456789")) - 1)</f>
        <v>VD</v>
      </c>
      <c r="B184" s="1">
        <f t="shared" si="2"/>
        <v>524</v>
      </c>
      <c r="C184" s="44" t="s">
        <v>1461</v>
      </c>
      <c r="D184" s="1" t="s">
        <v>92</v>
      </c>
      <c r="E184" s="26" t="s">
        <v>1008</v>
      </c>
      <c r="F184" s="16"/>
    </row>
    <row r="185" spans="1:6" ht="24.95" customHeight="1">
      <c r="A185" s="5" t="str">
        <f t="array" ref="A185">LEFT(D185, MIN(FIND({0,1,2,3,4,5,6,7,8,9}, D185 &amp; "0123456789")) - 1)</f>
        <v>VW</v>
      </c>
      <c r="B185" s="1">
        <f t="shared" si="2"/>
        <v>526</v>
      </c>
      <c r="C185" s="1" t="s">
        <v>1422</v>
      </c>
      <c r="D185" s="1" t="s">
        <v>1423</v>
      </c>
      <c r="E185" s="26" t="s">
        <v>1009</v>
      </c>
      <c r="F185" s="1"/>
    </row>
    <row r="186" spans="1:6" ht="24.95" customHeight="1">
      <c r="A186" s="5" t="str">
        <f t="array" ref="A186">LEFT(D186, MIN(FIND({0,1,2,3,4,5,6,7,8,9}, D186 &amp; "0123456789")) - 1)</f>
        <v>VW</v>
      </c>
      <c r="B186" s="1">
        <f t="shared" si="2"/>
        <v>528</v>
      </c>
      <c r="C186" s="1" t="s">
        <v>1424</v>
      </c>
      <c r="D186" s="1" t="s">
        <v>1425</v>
      </c>
      <c r="E186" s="26" t="s">
        <v>1010</v>
      </c>
      <c r="F186" s="1"/>
    </row>
    <row r="187" spans="1:6" ht="24.95" customHeight="1">
      <c r="A187" s="5" t="str">
        <f t="array" ref="A187">LEFT(D187, MIN(FIND({0,1,2,3,4,5,6,7,8,9}, D187 &amp; "0123456789")) - 1)</f>
        <v>VW</v>
      </c>
      <c r="B187" s="1">
        <f t="shared" si="2"/>
        <v>530</v>
      </c>
      <c r="C187" s="1" t="s">
        <v>1426</v>
      </c>
      <c r="D187" s="1" t="s">
        <v>1427</v>
      </c>
      <c r="E187" s="26" t="s">
        <v>1199</v>
      </c>
      <c r="F187" s="1"/>
    </row>
    <row r="188" spans="1:6" ht="24.95" customHeight="1">
      <c r="A188" s="5" t="str">
        <f t="array" ref="A188">LEFT(D188, MIN(FIND({0,1,2,3,4,5,6,7,8,9}, D188 &amp; "0123456789")) - 1)</f>
        <v>VW</v>
      </c>
      <c r="B188" s="1">
        <f t="shared" si="2"/>
        <v>532</v>
      </c>
      <c r="C188" s="1" t="s">
        <v>1428</v>
      </c>
      <c r="D188" s="1" t="s">
        <v>1429</v>
      </c>
      <c r="E188" s="26" t="s">
        <v>1023</v>
      </c>
      <c r="F188" s="1"/>
    </row>
    <row r="189" spans="1:6" ht="24.95" customHeight="1">
      <c r="A189" s="5" t="str">
        <f t="array" ref="A189">LEFT(D189, MIN(FIND({0,1,2,3,4,5,6,7,8,9}, D189 &amp; "0123456789")) - 1)</f>
        <v>VW</v>
      </c>
      <c r="B189" s="1">
        <f t="shared" si="2"/>
        <v>534</v>
      </c>
      <c r="C189" s="1" t="s">
        <v>1430</v>
      </c>
      <c r="D189" s="1" t="s">
        <v>1431</v>
      </c>
      <c r="E189" s="26" t="s">
        <v>1024</v>
      </c>
      <c r="F189" s="1"/>
    </row>
    <row r="190" spans="1:6" ht="24.95" customHeight="1">
      <c r="A190" s="5" t="str">
        <f t="array" ref="A190">LEFT(D190, MIN(FIND({0,1,2,3,4,5,6,7,8,9}, D190 &amp; "0123456789")) - 1)</f>
        <v>VW</v>
      </c>
      <c r="B190" s="1">
        <f t="shared" si="2"/>
        <v>536</v>
      </c>
      <c r="C190" s="1" t="s">
        <v>1432</v>
      </c>
      <c r="D190" s="1" t="s">
        <v>1433</v>
      </c>
      <c r="E190" s="26" t="s">
        <v>1025</v>
      </c>
      <c r="F190" s="1"/>
    </row>
    <row r="191" spans="1:6" ht="24.95" customHeight="1">
      <c r="A191" s="5" t="str">
        <f t="array" ref="A191">LEFT(D191, MIN(FIND({0,1,2,3,4,5,6,7,8,9}, D191 &amp; "0123456789")) - 1)</f>
        <v>VW</v>
      </c>
      <c r="B191" s="1">
        <f t="shared" si="2"/>
        <v>538</v>
      </c>
      <c r="C191" s="1" t="s">
        <v>1434</v>
      </c>
      <c r="D191" s="1" t="s">
        <v>1435</v>
      </c>
      <c r="E191" s="26" t="s">
        <v>1026</v>
      </c>
      <c r="F191" s="1"/>
    </row>
    <row r="192" spans="1:6" ht="24.95" customHeight="1">
      <c r="A192" s="5" t="str">
        <f t="array" ref="A192">LEFT(D192, MIN(FIND({0,1,2,3,4,5,6,7,8,9}, D192 &amp; "0123456789")) - 1)</f>
        <v>VW</v>
      </c>
      <c r="B192" s="1">
        <f t="shared" si="2"/>
        <v>540</v>
      </c>
      <c r="C192" s="1" t="s">
        <v>1436</v>
      </c>
      <c r="D192" s="1" t="s">
        <v>1437</v>
      </c>
      <c r="E192" s="26" t="s">
        <v>1027</v>
      </c>
      <c r="F192" s="1"/>
    </row>
    <row r="193" spans="1:6" ht="24.95" customHeight="1">
      <c r="A193" s="5" t="str">
        <f t="array" ref="A193">LEFT(D193, MIN(FIND({0,1,2,3,4,5,6,7,8,9}, D193 &amp; "0123456789")) - 1)</f>
        <v>VW</v>
      </c>
      <c r="B193" s="1">
        <f t="shared" si="2"/>
        <v>542</v>
      </c>
      <c r="C193" s="1" t="s">
        <v>1438</v>
      </c>
      <c r="D193" s="1" t="s">
        <v>1439</v>
      </c>
      <c r="E193" s="26" t="s">
        <v>1028</v>
      </c>
      <c r="F193" s="1"/>
    </row>
    <row r="194" spans="1:6" ht="24.95" customHeight="1">
      <c r="A194" s="5" t="str">
        <f t="array" ref="A194">LEFT(D194, MIN(FIND({0,1,2,3,4,5,6,7,8,9}, D194 &amp; "0123456789")) - 1)</f>
        <v>VW</v>
      </c>
      <c r="B194" s="1">
        <f t="shared" ref="B194:B215" si="3">VALUE(RIGHT(D194,LEN(D194)-LEN(A194)))</f>
        <v>544</v>
      </c>
      <c r="C194" s="1" t="s">
        <v>1440</v>
      </c>
      <c r="D194" s="1" t="s">
        <v>1441</v>
      </c>
      <c r="E194" s="26" t="s">
        <v>694</v>
      </c>
      <c r="F194" s="1"/>
    </row>
    <row r="195" spans="1:6" ht="24.95" customHeight="1">
      <c r="A195" s="5" t="str">
        <f t="array" ref="A195">LEFT(D195, MIN(FIND({0,1,2,3,4,5,6,7,8,9}, D195 &amp; "0123456789")) - 1)</f>
        <v>V</v>
      </c>
      <c r="B195" s="1">
        <f t="shared" si="3"/>
        <v>620</v>
      </c>
      <c r="C195" s="5" t="s">
        <v>1108</v>
      </c>
      <c r="D195" s="1" t="s">
        <v>326</v>
      </c>
      <c r="E195" s="26" t="s">
        <v>1109</v>
      </c>
      <c r="F195" s="16"/>
    </row>
    <row r="196" spans="1:6" ht="24.95" customHeight="1">
      <c r="A196" s="5" t="str">
        <f t="array" ref="A196">LEFT(D196, MIN(FIND({0,1,2,3,4,5,6,7,8,9}, D196 &amp; "0123456789")) - 1)</f>
        <v>V</v>
      </c>
      <c r="B196" s="1">
        <f t="shared" si="3"/>
        <v>620.1</v>
      </c>
      <c r="C196" s="1" t="s">
        <v>1110</v>
      </c>
      <c r="D196" s="1" t="s">
        <v>330</v>
      </c>
      <c r="E196" s="26" t="s">
        <v>1111</v>
      </c>
      <c r="F196" s="1"/>
    </row>
    <row r="197" spans="1:6" ht="24.95" customHeight="1">
      <c r="A197" s="5" t="str">
        <f t="array" ref="A197">LEFT(D197, MIN(FIND({0,1,2,3,4,5,6,7,8,9}, D197 &amp; "0123456789")) - 1)</f>
        <v>V</v>
      </c>
      <c r="B197" s="1">
        <f t="shared" si="3"/>
        <v>620.20000000000005</v>
      </c>
      <c r="C197" s="1" t="s">
        <v>1112</v>
      </c>
      <c r="D197" s="7" t="s">
        <v>334</v>
      </c>
      <c r="E197" s="26" t="s">
        <v>1113</v>
      </c>
      <c r="F197" s="16"/>
    </row>
    <row r="198" spans="1:6" ht="24.95" customHeight="1">
      <c r="A198" s="5" t="str">
        <f t="array" ref="A198">LEFT(D198, MIN(FIND({0,1,2,3,4,5,6,7,8,9}, D198 &amp; "0123456789")) - 1)</f>
        <v>V</v>
      </c>
      <c r="B198" s="1">
        <f t="shared" si="3"/>
        <v>620.29999999999995</v>
      </c>
      <c r="C198" s="1" t="s">
        <v>1114</v>
      </c>
      <c r="D198" s="1" t="s">
        <v>338</v>
      </c>
      <c r="E198" s="26" t="s">
        <v>1115</v>
      </c>
      <c r="F198" s="16"/>
    </row>
    <row r="199" spans="1:6" ht="24.95" customHeight="1">
      <c r="A199" s="5" t="str">
        <f t="array" ref="A199">LEFT(D199, MIN(FIND({0,1,2,3,4,5,6,7,8,9}, D199 &amp; "0123456789")) - 1)</f>
        <v>V</v>
      </c>
      <c r="B199" s="1">
        <f t="shared" si="3"/>
        <v>620.4</v>
      </c>
      <c r="C199" s="1" t="s">
        <v>1116</v>
      </c>
      <c r="D199" s="1" t="s">
        <v>342</v>
      </c>
      <c r="E199" s="26" t="s">
        <v>1117</v>
      </c>
      <c r="F199" s="16"/>
    </row>
    <row r="200" spans="1:6" ht="24.95" customHeight="1">
      <c r="A200" s="5" t="str">
        <f t="array" ref="A200">LEFT(D200, MIN(FIND({0,1,2,3,4,5,6,7,8,9}, D200 &amp; "0123456789")) - 1)</f>
        <v>V</v>
      </c>
      <c r="B200" s="1">
        <f t="shared" si="3"/>
        <v>620.5</v>
      </c>
      <c r="C200" s="1" t="s">
        <v>1118</v>
      </c>
      <c r="D200" s="1" t="s">
        <v>345</v>
      </c>
      <c r="E200" s="26" t="s">
        <v>1119</v>
      </c>
      <c r="F200" s="16"/>
    </row>
    <row r="201" spans="1:6" ht="24.95" customHeight="1">
      <c r="A201" s="5" t="str">
        <f t="array" ref="A201">LEFT(D201, MIN(FIND({0,1,2,3,4,5,6,7,8,9}, D201 &amp; "0123456789")) - 1)</f>
        <v>V</v>
      </c>
      <c r="B201" s="1">
        <f t="shared" si="3"/>
        <v>620.6</v>
      </c>
      <c r="C201" s="1" t="s">
        <v>1120</v>
      </c>
      <c r="D201" s="1" t="s">
        <v>348</v>
      </c>
      <c r="E201" s="26" t="s">
        <v>1121</v>
      </c>
      <c r="F201" s="16"/>
    </row>
    <row r="202" spans="1:6" ht="24.95" customHeight="1">
      <c r="A202" s="5" t="str">
        <f t="array" ref="A202">LEFT(D202, MIN(FIND({0,1,2,3,4,5,6,7,8,9}, D202 &amp; "0123456789")) - 1)</f>
        <v>V</v>
      </c>
      <c r="B202" s="1">
        <f t="shared" si="3"/>
        <v>620.70000000000005</v>
      </c>
      <c r="C202" s="1" t="s">
        <v>1122</v>
      </c>
      <c r="D202" s="1" t="s">
        <v>351</v>
      </c>
      <c r="E202" s="41" t="s">
        <v>1123</v>
      </c>
      <c r="F202" s="16"/>
    </row>
    <row r="203" spans="1:6" ht="24.95" customHeight="1">
      <c r="A203" s="5" t="str">
        <f t="array" ref="A203">LEFT(D203, MIN(FIND({0,1,2,3,4,5,6,7,8,9}, D203 &amp; "0123456789")) - 1)</f>
        <v>V</v>
      </c>
      <c r="B203" s="1">
        <f t="shared" si="3"/>
        <v>621</v>
      </c>
      <c r="C203" s="1" t="s">
        <v>1124</v>
      </c>
      <c r="D203" s="1" t="s">
        <v>354</v>
      </c>
      <c r="E203" s="41" t="s">
        <v>1125</v>
      </c>
      <c r="F203" s="16"/>
    </row>
    <row r="204" spans="1:6" ht="24.95" customHeight="1">
      <c r="A204" s="5" t="str">
        <f t="array" ref="A204">LEFT(D204, MIN(FIND({0,1,2,3,4,5,6,7,8,9}, D204 &amp; "0123456789")) - 1)</f>
        <v>V</v>
      </c>
      <c r="B204" s="1">
        <f t="shared" si="3"/>
        <v>621.1</v>
      </c>
      <c r="C204" s="1" t="s">
        <v>1126</v>
      </c>
      <c r="D204" s="1" t="s">
        <v>358</v>
      </c>
      <c r="E204" s="41" t="s">
        <v>1127</v>
      </c>
      <c r="F204" s="16"/>
    </row>
    <row r="205" spans="1:6" ht="24.95" customHeight="1">
      <c r="A205" s="5" t="str">
        <f t="array" ref="A205">LEFT(D205, MIN(FIND({0,1,2,3,4,5,6,7,8,9}, D205 &amp; "0123456789")) - 1)</f>
        <v>VD</v>
      </c>
      <c r="B205" s="1">
        <f t="shared" si="3"/>
        <v>640</v>
      </c>
      <c r="C205" s="1" t="s">
        <v>1390</v>
      </c>
      <c r="D205" s="1" t="s">
        <v>213</v>
      </c>
      <c r="E205" s="26" t="s">
        <v>1176</v>
      </c>
      <c r="F205" s="16"/>
    </row>
    <row r="206" spans="1:6" ht="24.95" customHeight="1">
      <c r="A206" s="5" t="str">
        <f t="array" ref="A206">LEFT(D206, MIN(FIND({0,1,2,3,4,5,6,7,8,9}, D206 &amp; "0123456789")) - 1)</f>
        <v>VD</v>
      </c>
      <c r="B206" s="1">
        <f t="shared" si="3"/>
        <v>644</v>
      </c>
      <c r="C206" s="1" t="s">
        <v>1391</v>
      </c>
      <c r="D206" s="7" t="s">
        <v>217</v>
      </c>
      <c r="E206" s="26" t="s">
        <v>1178</v>
      </c>
      <c r="F206" s="16"/>
    </row>
    <row r="207" spans="1:6" ht="24.95" customHeight="1">
      <c r="A207" s="5" t="str">
        <f t="array" ref="A207">LEFT(D207, MIN(FIND({0,1,2,3,4,5,6,7,8,9}, D207 &amp; "0123456789")) - 1)</f>
        <v>VD</v>
      </c>
      <c r="B207" s="1">
        <f t="shared" si="3"/>
        <v>648</v>
      </c>
      <c r="C207" s="1" t="s">
        <v>1392</v>
      </c>
      <c r="D207" s="1" t="s">
        <v>221</v>
      </c>
      <c r="E207" s="26" t="s">
        <v>1180</v>
      </c>
      <c r="F207" s="16"/>
    </row>
    <row r="208" spans="1:6" ht="24.95" customHeight="1">
      <c r="A208" s="5" t="str">
        <f t="array" ref="A208">LEFT(D208, MIN(FIND({0,1,2,3,4,5,6,7,8,9}, D208 &amp; "0123456789")) - 1)</f>
        <v>VD</v>
      </c>
      <c r="B208" s="1">
        <f t="shared" si="3"/>
        <v>652</v>
      </c>
      <c r="C208" s="1" t="s">
        <v>1393</v>
      </c>
      <c r="D208" s="1" t="s">
        <v>225</v>
      </c>
      <c r="E208" s="26" t="s">
        <v>1182</v>
      </c>
      <c r="F208" s="16"/>
    </row>
    <row r="209" spans="1:6" ht="24.95" customHeight="1">
      <c r="A209" s="5" t="str">
        <f t="array" ref="A209">LEFT(D209, MIN(FIND({0,1,2,3,4,5,6,7,8,9}, D209 &amp; "0123456789")) - 1)</f>
        <v>VB</v>
      </c>
      <c r="B209" s="1">
        <f t="shared" si="3"/>
        <v>800</v>
      </c>
      <c r="C209" s="1" t="s">
        <v>1326</v>
      </c>
      <c r="D209" s="1" t="s">
        <v>1327</v>
      </c>
      <c r="E209" s="26" t="s">
        <v>1328</v>
      </c>
      <c r="F209" s="1"/>
    </row>
    <row r="210" spans="1:6" ht="24.95" customHeight="1">
      <c r="A210" s="5" t="str">
        <f t="array" ref="A210">LEFT(D210, MIN(FIND({0,1,2,3,4,5,6,7,8,9}, D210 &amp; "0123456789")) - 1)</f>
        <v>VB</v>
      </c>
      <c r="B210" s="1">
        <f t="shared" si="3"/>
        <v>801</v>
      </c>
      <c r="C210" s="1" t="s">
        <v>1329</v>
      </c>
      <c r="D210" s="7" t="s">
        <v>1330</v>
      </c>
      <c r="E210" s="41" t="s">
        <v>770</v>
      </c>
      <c r="F210" s="16"/>
    </row>
    <row r="211" spans="1:6" ht="24.95" customHeight="1">
      <c r="A211" s="5" t="str">
        <f t="array" ref="A211">LEFT(D211, MIN(FIND({0,1,2,3,4,5,6,7,8,9}, D211 &amp; "0123456789")) - 1)</f>
        <v>VB</v>
      </c>
      <c r="B211" s="1">
        <f t="shared" si="3"/>
        <v>802</v>
      </c>
      <c r="C211" s="1" t="s">
        <v>1331</v>
      </c>
      <c r="D211" s="1" t="s">
        <v>1332</v>
      </c>
      <c r="E211" s="41" t="s">
        <v>772</v>
      </c>
      <c r="F211" s="16"/>
    </row>
    <row r="212" spans="1:6" ht="24.95" customHeight="1">
      <c r="A212" s="5" t="str">
        <f t="array" ref="A212">LEFT(D212, MIN(FIND({0,1,2,3,4,5,6,7,8,9}, D212 &amp; "0123456789")) - 1)</f>
        <v>VB</v>
      </c>
      <c r="B212" s="1">
        <f t="shared" si="3"/>
        <v>804</v>
      </c>
      <c r="C212" s="1" t="s">
        <v>1333</v>
      </c>
      <c r="D212" s="1" t="s">
        <v>1334</v>
      </c>
      <c r="E212" s="26" t="s">
        <v>1335</v>
      </c>
      <c r="F212" s="16"/>
    </row>
    <row r="213" spans="1:6" ht="24.95" customHeight="1">
      <c r="A213" s="5" t="str">
        <f t="array" ref="A213">LEFT(D213, MIN(FIND({0,1,2,3,4,5,6,7,8,9}, D213 &amp; "0123456789")) - 1)</f>
        <v>VB</v>
      </c>
      <c r="B213" s="1">
        <f t="shared" si="3"/>
        <v>806</v>
      </c>
      <c r="C213" s="1" t="s">
        <v>1336</v>
      </c>
      <c r="D213" s="1" t="s">
        <v>1337</v>
      </c>
      <c r="E213" s="26" t="s">
        <v>1338</v>
      </c>
      <c r="F213" s="16"/>
    </row>
    <row r="214" spans="1:6" ht="24.95" customHeight="1">
      <c r="A214" s="5" t="str">
        <f t="array" ref="A214">LEFT(D214, MIN(FIND({0,1,2,3,4,5,6,7,8,9}, D214 &amp; "0123456789")) - 1)</f>
        <v>VB</v>
      </c>
      <c r="B214" s="1">
        <f t="shared" si="3"/>
        <v>808</v>
      </c>
      <c r="C214" s="1" t="s">
        <v>1339</v>
      </c>
      <c r="D214" s="1" t="s">
        <v>1340</v>
      </c>
      <c r="E214" s="26" t="s">
        <v>1341</v>
      </c>
      <c r="F214" s="16"/>
    </row>
    <row r="215" spans="1:6" ht="24.95" customHeight="1">
      <c r="A215" s="5" t="str">
        <f t="array" ref="A215">LEFT(D215, MIN(FIND({0,1,2,3,4,5,6,7,8,9}, D215 &amp; "0123456789")) - 1)</f>
        <v>VW</v>
      </c>
      <c r="B215" s="1">
        <f t="shared" si="3"/>
        <v>898</v>
      </c>
      <c r="C215" s="14" t="s">
        <v>1442</v>
      </c>
      <c r="D215" s="14" t="s">
        <v>1204</v>
      </c>
      <c r="E215" s="45" t="s">
        <v>1205</v>
      </c>
      <c r="F215" s="14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57"/>
  <sheetViews>
    <sheetView topLeftCell="A249" zoomScaleNormal="100" zoomScaleSheetLayoutView="100" workbookViewId="0">
      <selection activeCell="A254" sqref="A254:G254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42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47" t="s">
        <v>1514</v>
      </c>
      <c r="D1" s="47" t="s">
        <v>1497</v>
      </c>
      <c r="E1" s="19" t="s">
        <v>536</v>
      </c>
      <c r="F1" s="19" t="s">
        <v>522</v>
      </c>
      <c r="G1" s="40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46" t="s">
        <v>1498</v>
      </c>
      <c r="F2" s="1" t="s">
        <v>1451</v>
      </c>
      <c r="G2" s="26" t="s">
        <v>1452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46" t="s">
        <v>1499</v>
      </c>
      <c r="F3" s="1" t="s">
        <v>1454</v>
      </c>
      <c r="G3" s="26" t="s">
        <v>1455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46" t="s">
        <v>1500</v>
      </c>
      <c r="F4" s="1" t="s">
        <v>1445</v>
      </c>
      <c r="G4" s="26" t="s">
        <v>1446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46" t="s">
        <v>1501</v>
      </c>
      <c r="F5" s="7" t="s">
        <v>1448</v>
      </c>
      <c r="G5" s="26" t="s">
        <v>1449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1035</v>
      </c>
      <c r="F6" s="7" t="s">
        <v>720</v>
      </c>
      <c r="G6" s="48" t="s">
        <v>1636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1036</v>
      </c>
      <c r="F7" s="1" t="s">
        <v>723</v>
      </c>
      <c r="G7" s="26" t="s">
        <v>1637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1037</v>
      </c>
      <c r="F8" s="1" t="s">
        <v>726</v>
      </c>
      <c r="G8" s="26" t="s">
        <v>1638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1038</v>
      </c>
      <c r="F9" s="1" t="s">
        <v>729</v>
      </c>
      <c r="G9" s="26" t="s">
        <v>1639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1039</v>
      </c>
      <c r="F10" s="1" t="s">
        <v>732</v>
      </c>
      <c r="G10" s="26" t="s">
        <v>1640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1040</v>
      </c>
      <c r="F11" s="1" t="s">
        <v>735</v>
      </c>
      <c r="G11" s="26" t="s">
        <v>1641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737</v>
      </c>
      <c r="F12" s="1" t="s">
        <v>738</v>
      </c>
      <c r="G12" s="26" t="s">
        <v>1642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740</v>
      </c>
      <c r="F13" s="1" t="s">
        <v>741</v>
      </c>
      <c r="G13" s="26" t="s">
        <v>1643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743</v>
      </c>
      <c r="F14" s="7" t="s">
        <v>744</v>
      </c>
      <c r="G14" s="26" t="s">
        <v>1644</v>
      </c>
    </row>
    <row r="15" spans="1:7" ht="24.95" customHeight="1">
      <c r="A15" s="5" t="str">
        <f t="array" ref="A15">LEFT(F15, MIN(FIND({0,1,2,3,4,5,6,7,8,9}, F15 &amp; "0123456789")) - 1)</f>
        <v>C</v>
      </c>
      <c r="B15" s="1">
        <f t="shared" si="0"/>
        <v>103</v>
      </c>
      <c r="C15" s="1"/>
      <c r="D15" s="1">
        <f t="shared" si="1"/>
        <v>19</v>
      </c>
      <c r="E15" s="1" t="s">
        <v>1768</v>
      </c>
      <c r="F15" s="1" t="s">
        <v>1769</v>
      </c>
      <c r="G15" s="26" t="s">
        <v>1770</v>
      </c>
    </row>
    <row r="16" spans="1:7" ht="24.95" customHeight="1">
      <c r="A16" s="5" t="str">
        <f t="array" ref="A16">LEFT(F16, MIN(FIND({0,1,2,3,4,5,6,7,8,9}, F16 &amp; "0123456789")) - 1)</f>
        <v>C</v>
      </c>
      <c r="B16" s="1">
        <f t="shared" si="0"/>
        <v>104</v>
      </c>
      <c r="C16" s="1"/>
      <c r="D16" s="1">
        <f t="shared" si="1"/>
        <v>17</v>
      </c>
      <c r="E16" s="1" t="s">
        <v>1771</v>
      </c>
      <c r="F16" s="1" t="s">
        <v>1772</v>
      </c>
      <c r="G16" s="26" t="s">
        <v>1773</v>
      </c>
    </row>
    <row r="17" spans="1:7" ht="24.95" customHeight="1">
      <c r="A17" s="5" t="str">
        <f t="array" ref="A17">LEFT(F17, MIN(FIND({0,1,2,3,4,5,6,7,8,9}, F17 &amp; "0123456789")) - 1)</f>
        <v>C</v>
      </c>
      <c r="B17" s="1">
        <f t="shared" si="0"/>
        <v>105</v>
      </c>
      <c r="C17" s="1"/>
      <c r="D17" s="1">
        <f t="shared" si="1"/>
        <v>20</v>
      </c>
      <c r="E17" s="1" t="s">
        <v>1774</v>
      </c>
      <c r="F17" s="1" t="s">
        <v>1775</v>
      </c>
      <c r="G17" s="26" t="s">
        <v>1776</v>
      </c>
    </row>
    <row r="18" spans="1:7" ht="24.95" customHeight="1">
      <c r="A18" s="5" t="str">
        <f t="array" ref="A18">LEFT(F18, MIN(FIND({0,1,2,3,4,5,6,7,8,9}, F18 &amp; "0123456789")) - 1)</f>
        <v>C</v>
      </c>
      <c r="B18" s="1">
        <f t="shared" si="0"/>
        <v>106</v>
      </c>
      <c r="C18" s="1"/>
      <c r="D18" s="1">
        <f t="shared" si="1"/>
        <v>21</v>
      </c>
      <c r="E18" s="1" t="s">
        <v>1777</v>
      </c>
      <c r="F18" s="1" t="s">
        <v>1778</v>
      </c>
      <c r="G18" s="26" t="s">
        <v>1779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20</v>
      </c>
      <c r="C19" s="1"/>
      <c r="D19" s="1">
        <f t="shared" si="1"/>
        <v>19</v>
      </c>
      <c r="E19" s="46" t="s">
        <v>1067</v>
      </c>
      <c r="F19" s="1" t="s">
        <v>1315</v>
      </c>
      <c r="G19" s="41" t="s">
        <v>1796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20.100000000000001</v>
      </c>
      <c r="C20" s="1"/>
      <c r="D20" s="1">
        <f t="shared" si="1"/>
        <v>16</v>
      </c>
      <c r="E20" s="1" t="s">
        <v>1068</v>
      </c>
      <c r="F20" s="1" t="s">
        <v>1316</v>
      </c>
      <c r="G20" s="26" t="s">
        <v>224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20.2</v>
      </c>
      <c r="C21" s="1"/>
      <c r="D21" s="1">
        <f t="shared" si="1"/>
        <v>14</v>
      </c>
      <c r="E21" s="6" t="s">
        <v>1071</v>
      </c>
      <c r="F21" s="1" t="s">
        <v>1317</v>
      </c>
      <c r="G21" s="26" t="s">
        <v>1319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20.3</v>
      </c>
      <c r="C22" s="1"/>
      <c r="D22" s="1">
        <f t="shared" si="1"/>
        <v>18</v>
      </c>
      <c r="E22" s="1" t="s">
        <v>1073</v>
      </c>
      <c r="F22" s="1" t="s">
        <v>1318</v>
      </c>
      <c r="G22" s="26" t="s">
        <v>805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20.399999999999999</v>
      </c>
      <c r="C23" s="1"/>
      <c r="D23" s="1">
        <f t="shared" si="1"/>
        <v>19</v>
      </c>
      <c r="E23" s="5" t="s">
        <v>1074</v>
      </c>
      <c r="F23" s="1" t="s">
        <v>1320</v>
      </c>
      <c r="G23" s="26" t="s">
        <v>807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20.5</v>
      </c>
      <c r="C24" s="1"/>
      <c r="D24" s="1">
        <f t="shared" si="1"/>
        <v>18</v>
      </c>
      <c r="E24" s="1" t="s">
        <v>1075</v>
      </c>
      <c r="F24" s="1" t="s">
        <v>1321</v>
      </c>
      <c r="G24" s="26" t="s">
        <v>809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0.1</v>
      </c>
      <c r="C25" s="1"/>
      <c r="D25" s="1">
        <f t="shared" si="1"/>
        <v>14</v>
      </c>
      <c r="E25" s="1" t="s">
        <v>746</v>
      </c>
      <c r="F25" s="7" t="s">
        <v>33</v>
      </c>
      <c r="G25" s="26" t="s">
        <v>747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0.2</v>
      </c>
      <c r="C26" s="1"/>
      <c r="D26" s="1">
        <f t="shared" si="1"/>
        <v>15</v>
      </c>
      <c r="E26" s="6" t="s">
        <v>748</v>
      </c>
      <c r="F26" s="1" t="s">
        <v>48</v>
      </c>
      <c r="G26" s="26" t="s">
        <v>749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0.3</v>
      </c>
      <c r="C27" s="1"/>
      <c r="D27" s="1">
        <f t="shared" si="1"/>
        <v>18</v>
      </c>
      <c r="E27" s="1" t="s">
        <v>1469</v>
      </c>
      <c r="F27" s="1" t="s">
        <v>60</v>
      </c>
      <c r="G27" s="26" t="s">
        <v>766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0.4</v>
      </c>
      <c r="C28" s="1"/>
      <c r="D28" s="1">
        <f t="shared" si="1"/>
        <v>15</v>
      </c>
      <c r="E28" s="1" t="s">
        <v>1645</v>
      </c>
      <c r="F28" s="1" t="s">
        <v>70</v>
      </c>
      <c r="G28" s="26" t="s">
        <v>1646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0.5</v>
      </c>
      <c r="C29" s="1"/>
      <c r="D29" s="1">
        <f t="shared" si="1"/>
        <v>18</v>
      </c>
      <c r="E29" s="1" t="s">
        <v>843</v>
      </c>
      <c r="F29" s="1" t="s">
        <v>79</v>
      </c>
      <c r="G29" s="26" t="s">
        <v>845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0.6</v>
      </c>
      <c r="C30" s="1"/>
      <c r="D30" s="1">
        <f t="shared" si="1"/>
        <v>15</v>
      </c>
      <c r="E30" s="1" t="s">
        <v>1052</v>
      </c>
      <c r="F30" s="1" t="s">
        <v>90</v>
      </c>
      <c r="G30" s="26" t="s">
        <v>1053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0.7</v>
      </c>
      <c r="C31" s="1"/>
      <c r="D31" s="1">
        <f t="shared" si="1"/>
        <v>19</v>
      </c>
      <c r="E31" s="1" t="s">
        <v>1054</v>
      </c>
      <c r="F31" s="1" t="s">
        <v>98</v>
      </c>
      <c r="G31" s="26" t="s">
        <v>1055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1</v>
      </c>
      <c r="C32" s="1"/>
      <c r="D32" s="1">
        <f t="shared" si="1"/>
        <v>21</v>
      </c>
      <c r="E32" s="1" t="s">
        <v>1056</v>
      </c>
      <c r="F32" s="1" t="s">
        <v>1288</v>
      </c>
      <c r="G32" s="26" t="s">
        <v>1470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1.1000000000000001</v>
      </c>
      <c r="C33" s="1"/>
      <c r="D33" s="1">
        <f t="shared" si="1"/>
        <v>13</v>
      </c>
      <c r="E33" s="1" t="s">
        <v>1471</v>
      </c>
      <c r="F33" s="1" t="s">
        <v>111</v>
      </c>
      <c r="G33" s="26" t="s">
        <v>1060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1.2</v>
      </c>
      <c r="C34" s="1"/>
      <c r="D34" s="1">
        <f t="shared" si="1"/>
        <v>17</v>
      </c>
      <c r="E34" s="1" t="s">
        <v>1472</v>
      </c>
      <c r="F34" s="1" t="s">
        <v>116</v>
      </c>
      <c r="G34" s="26" t="s">
        <v>1062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1.3</v>
      </c>
      <c r="C35" s="1"/>
      <c r="D35" s="1">
        <f t="shared" si="1"/>
        <v>18</v>
      </c>
      <c r="E35" s="1" t="s">
        <v>1473</v>
      </c>
      <c r="F35" s="1" t="s">
        <v>122</v>
      </c>
      <c r="G35" s="26" t="s">
        <v>1064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1.4</v>
      </c>
      <c r="C36" s="1"/>
      <c r="D36" s="1">
        <f t="shared" si="1"/>
        <v>20</v>
      </c>
      <c r="E36" s="1" t="s">
        <v>1065</v>
      </c>
      <c r="F36" s="1" t="s">
        <v>126</v>
      </c>
      <c r="G36" s="26" t="s">
        <v>1066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1.5</v>
      </c>
      <c r="C37" s="1"/>
      <c r="D37" s="1">
        <f t="shared" si="1"/>
        <v>15</v>
      </c>
      <c r="E37" s="1" t="s">
        <v>1780</v>
      </c>
      <c r="F37" s="1" t="s">
        <v>131</v>
      </c>
      <c r="G37" s="26" t="s">
        <v>1781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1.6</v>
      </c>
      <c r="C38" s="1"/>
      <c r="D38" s="1">
        <f t="shared" si="1"/>
        <v>18</v>
      </c>
      <c r="E38" s="1" t="s">
        <v>1083</v>
      </c>
      <c r="F38" s="1" t="s">
        <v>135</v>
      </c>
      <c r="G38" s="26" t="s">
        <v>1085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1.7</v>
      </c>
      <c r="C39" s="1"/>
      <c r="D39" s="1">
        <f t="shared" si="1"/>
        <v>18</v>
      </c>
      <c r="E39" s="1" t="s">
        <v>1086</v>
      </c>
      <c r="F39" s="1" t="s">
        <v>138</v>
      </c>
      <c r="G39" s="26" t="s">
        <v>1087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2</v>
      </c>
      <c r="C40" s="1"/>
      <c r="D40" s="1">
        <f t="shared" si="1"/>
        <v>15</v>
      </c>
      <c r="E40" s="6" t="s">
        <v>1088</v>
      </c>
      <c r="F40" s="7" t="s">
        <v>751</v>
      </c>
      <c r="G40" s="26" t="s">
        <v>1089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2.1</v>
      </c>
      <c r="C41" s="1"/>
      <c r="D41" s="1">
        <f t="shared" si="1"/>
        <v>22</v>
      </c>
      <c r="E41" s="1" t="s">
        <v>1090</v>
      </c>
      <c r="F41" s="1" t="s">
        <v>144</v>
      </c>
      <c r="G41" s="26" t="s">
        <v>1091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2.2000000000000002</v>
      </c>
      <c r="C42" s="1"/>
      <c r="D42" s="1">
        <f t="shared" si="1"/>
        <v>16</v>
      </c>
      <c r="E42" s="1" t="s">
        <v>1092</v>
      </c>
      <c r="F42" s="7" t="s">
        <v>148</v>
      </c>
      <c r="G42" s="26" t="s">
        <v>1094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2.2999999999999998</v>
      </c>
      <c r="C43" s="1"/>
      <c r="D43" s="1">
        <f t="shared" si="1"/>
        <v>16</v>
      </c>
      <c r="E43" s="46" t="s">
        <v>1095</v>
      </c>
      <c r="F43" s="1" t="s">
        <v>151</v>
      </c>
      <c r="G43" s="26" t="s">
        <v>1096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2.4</v>
      </c>
      <c r="C44" s="1"/>
      <c r="D44" s="1">
        <f t="shared" si="1"/>
        <v>16</v>
      </c>
      <c r="E44" s="1" t="s">
        <v>1097</v>
      </c>
      <c r="F44" s="1" t="s">
        <v>154</v>
      </c>
      <c r="G44" s="26" t="s">
        <v>1098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2.5</v>
      </c>
      <c r="C45" s="1"/>
      <c r="D45" s="1">
        <f t="shared" si="1"/>
        <v>16</v>
      </c>
      <c r="E45" s="6" t="s">
        <v>1099</v>
      </c>
      <c r="F45" s="7" t="s">
        <v>157</v>
      </c>
      <c r="G45" s="26" t="s">
        <v>1100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2.6</v>
      </c>
      <c r="C46" s="1"/>
      <c r="D46" s="1">
        <f t="shared" si="1"/>
        <v>16</v>
      </c>
      <c r="E46" s="8" t="s">
        <v>1101</v>
      </c>
      <c r="F46" s="7" t="s">
        <v>161</v>
      </c>
      <c r="G46" s="26" t="s">
        <v>1102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2.7</v>
      </c>
      <c r="C47" s="1"/>
      <c r="D47" s="1">
        <f t="shared" si="1"/>
        <v>16</v>
      </c>
      <c r="E47" s="5" t="s">
        <v>1103</v>
      </c>
      <c r="F47" s="7" t="s">
        <v>165</v>
      </c>
      <c r="G47" s="26" t="s">
        <v>1104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3</v>
      </c>
      <c r="C48" s="1"/>
      <c r="D48" s="1">
        <f t="shared" si="1"/>
        <v>16</v>
      </c>
      <c r="E48" s="8" t="s">
        <v>1496</v>
      </c>
      <c r="F48" s="1" t="s">
        <v>758</v>
      </c>
      <c r="G48" s="26" t="s">
        <v>1291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3.1</v>
      </c>
      <c r="C49" s="1"/>
      <c r="D49" s="1">
        <f t="shared" si="1"/>
        <v>20</v>
      </c>
      <c r="E49" s="1" t="s">
        <v>1292</v>
      </c>
      <c r="F49" s="1" t="s">
        <v>169</v>
      </c>
      <c r="G49" s="26" t="s">
        <v>1580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3.4</v>
      </c>
      <c r="C50" s="1"/>
      <c r="D50" s="1">
        <f t="shared" si="1"/>
        <v>15</v>
      </c>
      <c r="E50" s="8" t="s">
        <v>1298</v>
      </c>
      <c r="F50" s="1" t="s">
        <v>183</v>
      </c>
      <c r="G50" s="26" t="s">
        <v>1299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3.5</v>
      </c>
      <c r="C51" s="1"/>
      <c r="D51" s="1">
        <f t="shared" si="1"/>
        <v>18</v>
      </c>
      <c r="E51" s="1" t="s">
        <v>1300</v>
      </c>
      <c r="F51" s="1" t="s">
        <v>188</v>
      </c>
      <c r="G51" s="26" t="s">
        <v>1301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3.7</v>
      </c>
      <c r="C52" s="1"/>
      <c r="D52" s="1">
        <f t="shared" si="1"/>
        <v>14</v>
      </c>
      <c r="E52" s="1" t="s">
        <v>1647</v>
      </c>
      <c r="F52" s="1" t="s">
        <v>197</v>
      </c>
      <c r="G52" s="26" t="s">
        <v>1648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4</v>
      </c>
      <c r="C53" s="1"/>
      <c r="D53" s="1">
        <f t="shared" si="1"/>
        <v>16</v>
      </c>
      <c r="E53" s="1" t="s">
        <v>1782</v>
      </c>
      <c r="F53" s="1" t="s">
        <v>765</v>
      </c>
      <c r="G53" s="26" t="s">
        <v>1783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4.0999999999999996</v>
      </c>
      <c r="C54" s="1"/>
      <c r="D54" s="1">
        <f t="shared" si="1"/>
        <v>23</v>
      </c>
      <c r="E54" s="1" t="s">
        <v>1649</v>
      </c>
      <c r="F54" s="1" t="s">
        <v>203</v>
      </c>
      <c r="G54" s="26" t="s">
        <v>1650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4.2</v>
      </c>
      <c r="C55" s="1"/>
      <c r="D55" s="1">
        <f t="shared" si="1"/>
        <v>21</v>
      </c>
      <c r="E55" s="1" t="s">
        <v>1784</v>
      </c>
      <c r="F55" s="1" t="s">
        <v>207</v>
      </c>
      <c r="G55" s="26" t="s">
        <v>1785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4.3</v>
      </c>
      <c r="C56" s="1"/>
      <c r="D56" s="1">
        <f t="shared" si="1"/>
        <v>15</v>
      </c>
      <c r="E56" s="1" t="s">
        <v>1786</v>
      </c>
      <c r="F56" s="1" t="s">
        <v>211</v>
      </c>
      <c r="G56" s="26" t="s">
        <v>1787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4.4000000000000004</v>
      </c>
      <c r="C57" s="1"/>
      <c r="D57" s="1">
        <f t="shared" si="1"/>
        <v>16</v>
      </c>
      <c r="E57" s="5" t="s">
        <v>1788</v>
      </c>
      <c r="F57" s="1" t="s">
        <v>215</v>
      </c>
      <c r="G57" s="26" t="s">
        <v>1789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4.5</v>
      </c>
      <c r="C58" s="1"/>
      <c r="D58" s="1">
        <f t="shared" si="1"/>
        <v>21</v>
      </c>
      <c r="E58" s="8" t="s">
        <v>1790</v>
      </c>
      <c r="F58" s="1" t="s">
        <v>219</v>
      </c>
      <c r="G58" s="26" t="s">
        <v>1791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10</v>
      </c>
      <c r="C59" s="1"/>
      <c r="D59" s="1">
        <f t="shared" si="1"/>
        <v>15</v>
      </c>
      <c r="E59" s="46" t="s">
        <v>750</v>
      </c>
      <c r="F59" s="1" t="s">
        <v>1302</v>
      </c>
      <c r="G59" s="26" t="s">
        <v>752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10.1</v>
      </c>
      <c r="C60" s="1"/>
      <c r="D60" s="1">
        <f t="shared" si="1"/>
        <v>14</v>
      </c>
      <c r="E60" s="46" t="s">
        <v>753</v>
      </c>
      <c r="F60" s="1" t="s">
        <v>356</v>
      </c>
      <c r="G60" s="26" t="s">
        <v>754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10.199999999999999</v>
      </c>
      <c r="C61" s="1"/>
      <c r="D61" s="1">
        <f t="shared" si="1"/>
        <v>15</v>
      </c>
      <c r="E61" s="46" t="s">
        <v>755</v>
      </c>
      <c r="F61" s="1" t="s">
        <v>360</v>
      </c>
      <c r="G61" s="26" t="s">
        <v>756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10.3</v>
      </c>
      <c r="C62" s="1"/>
      <c r="D62" s="1">
        <f t="shared" si="1"/>
        <v>16</v>
      </c>
      <c r="E62" s="1" t="s">
        <v>757</v>
      </c>
      <c r="F62" s="1" t="s">
        <v>362</v>
      </c>
      <c r="G62" s="26" t="s">
        <v>759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10.4</v>
      </c>
      <c r="C63" s="1"/>
      <c r="D63" s="1">
        <f t="shared" si="1"/>
        <v>15</v>
      </c>
      <c r="E63" s="1" t="s">
        <v>760</v>
      </c>
      <c r="F63" s="1" t="s">
        <v>364</v>
      </c>
      <c r="G63" s="26" t="s">
        <v>761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10.5</v>
      </c>
      <c r="C64" s="1"/>
      <c r="D64" s="1">
        <f t="shared" si="1"/>
        <v>16</v>
      </c>
      <c r="E64" s="8" t="s">
        <v>762</v>
      </c>
      <c r="F64" s="7" t="s">
        <v>366</v>
      </c>
      <c r="G64" s="26" t="s">
        <v>763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10.6</v>
      </c>
      <c r="C65" s="1"/>
      <c r="D65" s="1">
        <f t="shared" si="1"/>
        <v>17</v>
      </c>
      <c r="E65" s="1" t="s">
        <v>1303</v>
      </c>
      <c r="F65" s="7" t="s">
        <v>368</v>
      </c>
      <c r="G65" s="26" t="s">
        <v>847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10.7</v>
      </c>
      <c r="C66" s="1"/>
      <c r="D66" s="1">
        <f t="shared" ref="D66:D129" si="3">LEN(E66)</f>
        <v>19</v>
      </c>
      <c r="E66" s="8" t="s">
        <v>1304</v>
      </c>
      <c r="F66" s="1" t="s">
        <v>370</v>
      </c>
      <c r="G66" s="26" t="s">
        <v>849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11</v>
      </c>
      <c r="C67" s="1"/>
      <c r="D67" s="1">
        <f t="shared" si="3"/>
        <v>15</v>
      </c>
      <c r="E67" s="1" t="s">
        <v>1305</v>
      </c>
      <c r="F67" s="1" t="s">
        <v>1306</v>
      </c>
      <c r="G67" s="26" t="s">
        <v>1051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11.1</v>
      </c>
      <c r="C68" s="1"/>
      <c r="D68" s="1">
        <f t="shared" si="3"/>
        <v>19</v>
      </c>
      <c r="E68" s="1" t="s">
        <v>1307</v>
      </c>
      <c r="F68" s="1" t="s">
        <v>373</v>
      </c>
      <c r="G68" s="26" t="s">
        <v>1308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11.2</v>
      </c>
      <c r="C69" s="1"/>
      <c r="D69" s="1">
        <f t="shared" si="3"/>
        <v>14</v>
      </c>
      <c r="E69" s="46" t="s">
        <v>1792</v>
      </c>
      <c r="F69" s="5" t="s">
        <v>375</v>
      </c>
      <c r="G69" s="41" t="s">
        <v>1310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11.3</v>
      </c>
      <c r="C70" s="1"/>
      <c r="D70" s="1">
        <f t="shared" si="3"/>
        <v>22</v>
      </c>
      <c r="E70" s="1" t="s">
        <v>1311</v>
      </c>
      <c r="F70" s="1" t="s">
        <v>377</v>
      </c>
      <c r="G70" s="41" t="s">
        <v>1312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11.4</v>
      </c>
      <c r="C71" s="1"/>
      <c r="D71" s="1">
        <f t="shared" si="3"/>
        <v>17</v>
      </c>
      <c r="E71" s="1" t="s">
        <v>1793</v>
      </c>
      <c r="F71" s="1" t="s">
        <v>379</v>
      </c>
      <c r="G71" s="41" t="s">
        <v>1314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11.5</v>
      </c>
      <c r="C72" s="1"/>
      <c r="D72" s="1">
        <f t="shared" si="3"/>
        <v>17</v>
      </c>
      <c r="E72" s="1" t="s">
        <v>1651</v>
      </c>
      <c r="F72" s="1" t="s">
        <v>381</v>
      </c>
      <c r="G72" s="41" t="s">
        <v>1652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11.6</v>
      </c>
      <c r="C73" s="1"/>
      <c r="D73" s="1">
        <f t="shared" si="3"/>
        <v>19</v>
      </c>
      <c r="E73" s="1" t="s">
        <v>1653</v>
      </c>
      <c r="F73" s="1" t="s">
        <v>383</v>
      </c>
      <c r="G73" s="41" t="s">
        <v>1654</v>
      </c>
    </row>
    <row r="74" spans="1:7" ht="24.95" customHeight="1">
      <c r="A74" s="5" t="str">
        <f t="array" ref="A74">LEFT(F74, MIN(FIND({0,1,2,3,4,5,6,7,8,9}, F74 &amp; "0123456789")) - 1)</f>
        <v>M</v>
      </c>
      <c r="B74" s="1">
        <f t="shared" si="2"/>
        <v>11.7</v>
      </c>
      <c r="C74" s="1"/>
      <c r="D74" s="1">
        <f t="shared" si="3"/>
        <v>16</v>
      </c>
      <c r="E74" s="1" t="s">
        <v>1655</v>
      </c>
      <c r="F74" s="1" t="s">
        <v>385</v>
      </c>
      <c r="G74" s="41" t="s">
        <v>1656</v>
      </c>
    </row>
    <row r="75" spans="1:7" ht="24.95" customHeight="1">
      <c r="A75" s="5" t="str">
        <f t="array" ref="A75">LEFT(F75, MIN(FIND({0,1,2,3,4,5,6,7,8,9}, F75 &amp; "0123456789")) - 1)</f>
        <v>M</v>
      </c>
      <c r="B75" s="1">
        <f t="shared" si="2"/>
        <v>12</v>
      </c>
      <c r="C75" s="1"/>
      <c r="D75" s="1">
        <f t="shared" si="3"/>
        <v>18</v>
      </c>
      <c r="E75" s="1" t="s">
        <v>1657</v>
      </c>
      <c r="F75" s="1" t="s">
        <v>1658</v>
      </c>
      <c r="G75" s="41" t="s">
        <v>1659</v>
      </c>
    </row>
    <row r="76" spans="1:7" ht="24.95" customHeight="1">
      <c r="A76" s="5" t="str">
        <f t="array" ref="A76">LEFT(F76, MIN(FIND({0,1,2,3,4,5,6,7,8,9}, F76 &amp; "0123456789")) - 1)</f>
        <v>M</v>
      </c>
      <c r="B76" s="1">
        <f t="shared" si="2"/>
        <v>12.1</v>
      </c>
      <c r="C76" s="1"/>
      <c r="D76" s="1">
        <f t="shared" si="3"/>
        <v>16</v>
      </c>
      <c r="E76" s="6" t="s">
        <v>1660</v>
      </c>
      <c r="F76" s="7" t="s">
        <v>387</v>
      </c>
      <c r="G76" s="41" t="s">
        <v>1661</v>
      </c>
    </row>
    <row r="77" spans="1:7" ht="24.95" customHeight="1">
      <c r="A77" s="5" t="str">
        <f t="array" ref="A77">LEFT(F77, MIN(FIND({0,1,2,3,4,5,6,7,8,9}, F77 &amp; "0123456789")) - 1)</f>
        <v>M</v>
      </c>
      <c r="B77" s="1">
        <f t="shared" si="2"/>
        <v>12.2</v>
      </c>
      <c r="C77" s="1"/>
      <c r="D77" s="1">
        <f t="shared" si="3"/>
        <v>18</v>
      </c>
      <c r="E77" s="1" t="s">
        <v>1662</v>
      </c>
      <c r="F77" s="7" t="s">
        <v>389</v>
      </c>
      <c r="G77" s="41" t="s">
        <v>1663</v>
      </c>
    </row>
    <row r="78" spans="1:7" ht="24.95" customHeight="1">
      <c r="A78" s="5" t="str">
        <f t="array" ref="A78">LEFT(F78, MIN(FIND({0,1,2,3,4,5,6,7,8,9}, F78 &amp; "0123456789")) - 1)</f>
        <v>M</v>
      </c>
      <c r="B78" s="1">
        <f t="shared" si="2"/>
        <v>12.3</v>
      </c>
      <c r="C78" s="1"/>
      <c r="D78" s="1">
        <f t="shared" si="3"/>
        <v>20</v>
      </c>
      <c r="E78" s="1" t="s">
        <v>1794</v>
      </c>
      <c r="F78" s="1" t="s">
        <v>390</v>
      </c>
      <c r="G78" s="41" t="s">
        <v>1795</v>
      </c>
    </row>
    <row r="79" spans="1:7" ht="24.95" customHeight="1">
      <c r="A79" s="5" t="str">
        <f t="array" ref="A79">LEFT(F79, MIN(FIND({0,1,2,3,4,5,6,7,8,9}, F79 &amp; "0123456789")) - 1)</f>
        <v>M</v>
      </c>
      <c r="B79" s="1">
        <f t="shared" si="2"/>
        <v>20.6</v>
      </c>
      <c r="C79" s="1"/>
      <c r="D79" s="1">
        <f t="shared" si="3"/>
        <v>15</v>
      </c>
      <c r="E79" s="46" t="s">
        <v>1081</v>
      </c>
      <c r="F79" s="1" t="s">
        <v>1322</v>
      </c>
      <c r="G79" s="26" t="s">
        <v>1082</v>
      </c>
    </row>
    <row r="80" spans="1:7" ht="24.95" customHeight="1">
      <c r="A80" s="5" t="str">
        <f t="array" ref="A80">LEFT(F80, MIN(FIND({0,1,2,3,4,5,6,7,8,9}, F80 &amp; "0123456789")) - 1)</f>
        <v>M</v>
      </c>
      <c r="B80" s="1">
        <f t="shared" si="2"/>
        <v>20.7</v>
      </c>
      <c r="C80" s="1"/>
      <c r="D80" s="1">
        <f t="shared" si="3"/>
        <v>21</v>
      </c>
      <c r="E80" s="1" t="s">
        <v>1664</v>
      </c>
      <c r="F80" s="1" t="s">
        <v>1323</v>
      </c>
      <c r="G80" s="48" t="s">
        <v>1295</v>
      </c>
    </row>
    <row r="81" spans="1:7" ht="24.95" customHeight="1">
      <c r="A81" s="5" t="str">
        <f t="array" ref="A81">LEFT(F81, MIN(FIND({0,1,2,3,4,5,6,7,8,9}, F81 &amp; "0123456789")) - 1)</f>
        <v>M</v>
      </c>
      <c r="B81" s="1">
        <f t="shared" si="2"/>
        <v>21</v>
      </c>
      <c r="C81" s="1"/>
      <c r="D81" s="1">
        <f t="shared" si="3"/>
        <v>21</v>
      </c>
      <c r="E81" s="46" t="s">
        <v>1666</v>
      </c>
      <c r="F81" s="1" t="s">
        <v>1665</v>
      </c>
      <c r="G81" s="48" t="s">
        <v>1297</v>
      </c>
    </row>
    <row r="82" spans="1:7" ht="24.95" customHeight="1">
      <c r="A82" s="5" t="str">
        <f t="array" ref="A82">LEFT(F82, MIN(FIND({0,1,2,3,4,5,6,7,8,9}, F82 &amp; "0123456789")) - 1)</f>
        <v>M</v>
      </c>
      <c r="B82" s="1">
        <f t="shared" si="2"/>
        <v>21.1</v>
      </c>
      <c r="C82" s="1"/>
      <c r="D82" s="1">
        <f t="shared" si="3"/>
        <v>15</v>
      </c>
      <c r="E82" s="1" t="s">
        <v>1502</v>
      </c>
      <c r="F82" s="1" t="s">
        <v>1667</v>
      </c>
      <c r="G82" s="26" t="s">
        <v>1077</v>
      </c>
    </row>
    <row r="83" spans="1:7" ht="24.95" customHeight="1">
      <c r="A83" s="5" t="str">
        <f t="array" ref="A83">LEFT(F83, MIN(FIND({0,1,2,3,4,5,6,7,8,9}, F83 &amp; "0123456789")) - 1)</f>
        <v>M</v>
      </c>
      <c r="B83" s="1">
        <f t="shared" si="2"/>
        <v>21.2</v>
      </c>
      <c r="C83" s="1"/>
      <c r="D83" s="1">
        <f t="shared" si="3"/>
        <v>15</v>
      </c>
      <c r="E83" s="1" t="s">
        <v>1503</v>
      </c>
      <c r="F83" s="1" t="s">
        <v>1668</v>
      </c>
      <c r="G83" s="26" t="s">
        <v>1080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101</v>
      </c>
      <c r="C84" s="1"/>
      <c r="D84" s="1">
        <f t="shared" si="3"/>
        <v>16</v>
      </c>
      <c r="E84" s="1" t="s">
        <v>773</v>
      </c>
      <c r="F84" s="1" t="s">
        <v>21</v>
      </c>
      <c r="G84" s="26" t="s">
        <v>774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102</v>
      </c>
      <c r="C85" s="1"/>
      <c r="D85" s="1">
        <f t="shared" si="3"/>
        <v>14</v>
      </c>
      <c r="E85" s="1" t="s">
        <v>775</v>
      </c>
      <c r="F85" s="1" t="s">
        <v>40</v>
      </c>
      <c r="G85" s="26" t="s">
        <v>1797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103</v>
      </c>
      <c r="C86" s="1"/>
      <c r="D86" s="1">
        <f t="shared" si="3"/>
        <v>16</v>
      </c>
      <c r="E86" s="1" t="s">
        <v>1669</v>
      </c>
      <c r="F86" s="1" t="s">
        <v>54</v>
      </c>
      <c r="G86" s="26" t="s">
        <v>1670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104</v>
      </c>
      <c r="C87" s="1"/>
      <c r="D87" s="1">
        <f t="shared" si="3"/>
        <v>18</v>
      </c>
      <c r="E87" s="1" t="s">
        <v>1518</v>
      </c>
      <c r="F87" s="1" t="s">
        <v>64</v>
      </c>
      <c r="G87" s="26" t="s">
        <v>1519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105</v>
      </c>
      <c r="C88" s="1"/>
      <c r="D88" s="1">
        <f t="shared" si="3"/>
        <v>16</v>
      </c>
      <c r="E88" s="1" t="s">
        <v>779</v>
      </c>
      <c r="F88" s="1" t="s">
        <v>73</v>
      </c>
      <c r="G88" s="26" t="s">
        <v>780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106</v>
      </c>
      <c r="C89" s="1"/>
      <c r="D89" s="1">
        <f t="shared" si="3"/>
        <v>15</v>
      </c>
      <c r="E89" s="6" t="s">
        <v>1474</v>
      </c>
      <c r="F89" s="1" t="s">
        <v>84</v>
      </c>
      <c r="G89" s="26" t="s">
        <v>1475</v>
      </c>
    </row>
    <row r="90" spans="1:7" ht="24.95" customHeight="1">
      <c r="A90" s="5" t="str">
        <f t="array" ref="A90">LEFT(F90, MIN(FIND({0,1,2,3,4,5,6,7,8,9}, F90 &amp; "0123456789")) - 1)</f>
        <v>T</v>
      </c>
      <c r="B90" s="1">
        <f t="shared" si="2"/>
        <v>107</v>
      </c>
      <c r="C90" s="1"/>
      <c r="D90" s="1">
        <f t="shared" si="3"/>
        <v>20</v>
      </c>
      <c r="E90" s="1" t="s">
        <v>1504</v>
      </c>
      <c r="F90" s="1" t="s">
        <v>93</v>
      </c>
      <c r="G90" s="26" t="s">
        <v>784</v>
      </c>
    </row>
    <row r="91" spans="1:7" ht="24.95" customHeight="1">
      <c r="A91" s="5" t="str">
        <f t="array" ref="A91">LEFT(F91, MIN(FIND({0,1,2,3,4,5,6,7,8,9}, F91 &amp; "0123456789")) - 1)</f>
        <v>T</v>
      </c>
      <c r="B91" s="1">
        <f t="shared" si="2"/>
        <v>110</v>
      </c>
      <c r="C91" s="1"/>
      <c r="D91" s="1">
        <f t="shared" si="3"/>
        <v>18</v>
      </c>
      <c r="E91" s="1" t="s">
        <v>785</v>
      </c>
      <c r="F91" s="1" t="s">
        <v>114</v>
      </c>
      <c r="G91" s="26" t="s">
        <v>786</v>
      </c>
    </row>
    <row r="92" spans="1:7" ht="24.95" customHeight="1">
      <c r="A92" s="5" t="str">
        <f t="array" ref="A92">LEFT(F92, MIN(FIND({0,1,2,3,4,5,6,7,8,9}, F92 &amp; "0123456789")) - 1)</f>
        <v>T</v>
      </c>
      <c r="B92" s="1">
        <f t="shared" si="2"/>
        <v>111</v>
      </c>
      <c r="C92" s="1"/>
      <c r="D92" s="1">
        <f t="shared" si="3"/>
        <v>18</v>
      </c>
      <c r="E92" s="1" t="s">
        <v>787</v>
      </c>
      <c r="F92" s="1" t="s">
        <v>120</v>
      </c>
      <c r="G92" s="26" t="s">
        <v>788</v>
      </c>
    </row>
    <row r="93" spans="1:7" ht="24.95" customHeight="1">
      <c r="A93" s="5" t="str">
        <f t="array" ref="A93">LEFT(F93, MIN(FIND({0,1,2,3,4,5,6,7,8,9}, F93 &amp; "0123456789")) - 1)</f>
        <v>T</v>
      </c>
      <c r="B93" s="1">
        <f t="shared" si="2"/>
        <v>112</v>
      </c>
      <c r="C93" s="1"/>
      <c r="D93" s="1">
        <f t="shared" si="3"/>
        <v>18</v>
      </c>
      <c r="E93" s="6" t="s">
        <v>789</v>
      </c>
      <c r="F93" s="7" t="s">
        <v>124</v>
      </c>
      <c r="G93" s="26" t="s">
        <v>790</v>
      </c>
    </row>
    <row r="94" spans="1:7" ht="24.95" customHeight="1">
      <c r="A94" s="5" t="str">
        <f t="array" ref="A94">LEFT(F94, MIN(FIND({0,1,2,3,4,5,6,7,8,9}, F94 &amp; "0123456789")) - 1)</f>
        <v>T</v>
      </c>
      <c r="B94" s="1">
        <f t="shared" si="2"/>
        <v>113</v>
      </c>
      <c r="C94" s="1"/>
      <c r="D94" s="1">
        <f t="shared" si="3"/>
        <v>18</v>
      </c>
      <c r="E94" s="1" t="s">
        <v>791</v>
      </c>
      <c r="F94" s="1" t="s">
        <v>129</v>
      </c>
      <c r="G94" s="26" t="s">
        <v>792</v>
      </c>
    </row>
    <row r="95" spans="1:7" ht="24.95" customHeight="1">
      <c r="A95" s="5" t="str">
        <f t="array" ref="A95">LEFT(F95, MIN(FIND({0,1,2,3,4,5,6,7,8,9}, F95 &amp; "0123456789")) - 1)</f>
        <v>T</v>
      </c>
      <c r="B95" s="1">
        <f t="shared" si="2"/>
        <v>115</v>
      </c>
      <c r="C95" s="1"/>
      <c r="D95" s="1">
        <f t="shared" si="3"/>
        <v>22</v>
      </c>
      <c r="E95" s="1" t="s">
        <v>1505</v>
      </c>
      <c r="F95" s="63" t="s">
        <v>136</v>
      </c>
      <c r="G95" s="26" t="s">
        <v>1671</v>
      </c>
    </row>
    <row r="96" spans="1:7" ht="24.95" customHeight="1">
      <c r="A96" s="5" t="str">
        <f t="array" ref="A96">LEFT(F96, MIN(FIND({0,1,2,3,4,5,6,7,8,9}, F96 &amp; "0123456789")) - 1)</f>
        <v>T</v>
      </c>
      <c r="B96" s="1">
        <f t="shared" si="2"/>
        <v>116</v>
      </c>
      <c r="C96" s="1"/>
      <c r="D96" s="1">
        <f t="shared" si="3"/>
        <v>22</v>
      </c>
      <c r="E96" s="1" t="s">
        <v>1476</v>
      </c>
      <c r="F96" s="63" t="s">
        <v>139</v>
      </c>
      <c r="G96" s="26" t="s">
        <v>1506</v>
      </c>
    </row>
    <row r="97" spans="1:7" ht="24.95" customHeight="1">
      <c r="A97" s="5" t="str">
        <f t="array" ref="A97">LEFT(F97, MIN(FIND({0,1,2,3,4,5,6,7,8,9}, F97 &amp; "0123456789")) - 1)</f>
        <v>T</v>
      </c>
      <c r="B97" s="1">
        <f t="shared" si="2"/>
        <v>118</v>
      </c>
      <c r="C97" s="1"/>
      <c r="D97" s="1">
        <f t="shared" si="3"/>
        <v>18</v>
      </c>
      <c r="E97" s="1" t="s">
        <v>800</v>
      </c>
      <c r="F97" s="63" t="s">
        <v>147</v>
      </c>
      <c r="G97" s="26" t="s">
        <v>801</v>
      </c>
    </row>
    <row r="98" spans="1:7" ht="24.95" customHeight="1">
      <c r="A98" s="5" t="str">
        <f t="array" ref="A98">LEFT(F98, MIN(FIND({0,1,2,3,4,5,6,7,8,9}, F98 &amp; "0123456789")) - 1)</f>
        <v>T</v>
      </c>
      <c r="B98" s="1">
        <f t="shared" si="2"/>
        <v>119</v>
      </c>
      <c r="C98" s="1"/>
      <c r="D98" s="1">
        <f t="shared" si="3"/>
        <v>22</v>
      </c>
      <c r="E98" s="1" t="s">
        <v>1477</v>
      </c>
      <c r="F98" s="63" t="s">
        <v>150</v>
      </c>
      <c r="G98" s="26" t="s">
        <v>1478</v>
      </c>
    </row>
    <row r="99" spans="1:7" ht="24.95" customHeight="1">
      <c r="A99" s="5" t="str">
        <f t="array" ref="A99">LEFT(F99, MIN(FIND({0,1,2,3,4,5,6,7,8,9}, F99 &amp; "0123456789")) - 1)</f>
        <v>T</v>
      </c>
      <c r="B99" s="1">
        <f t="shared" si="2"/>
        <v>120</v>
      </c>
      <c r="C99" s="1"/>
      <c r="D99" s="1">
        <f t="shared" si="3"/>
        <v>19</v>
      </c>
      <c r="E99" s="1" t="s">
        <v>1520</v>
      </c>
      <c r="F99" s="63" t="s">
        <v>153</v>
      </c>
      <c r="G99" s="71" t="s">
        <v>1521</v>
      </c>
    </row>
    <row r="100" spans="1:7" ht="24.95" customHeight="1">
      <c r="A100" s="5" t="str">
        <f t="array" ref="A100">LEFT(F100, MIN(FIND({0,1,2,3,4,5,6,7,8,9}, F100 &amp; "0123456789")) - 1)</f>
        <v>T</v>
      </c>
      <c r="B100" s="1">
        <f t="shared" si="2"/>
        <v>121</v>
      </c>
      <c r="C100" s="1"/>
      <c r="D100" s="1">
        <f t="shared" si="3"/>
        <v>17</v>
      </c>
      <c r="E100" s="1" t="s">
        <v>1798</v>
      </c>
      <c r="F100" s="63" t="s">
        <v>156</v>
      </c>
      <c r="G100" s="71" t="s">
        <v>1799</v>
      </c>
    </row>
    <row r="101" spans="1:7" ht="24.95" customHeight="1">
      <c r="A101" s="5" t="str">
        <f t="array" ref="A101">LEFT(F101, MIN(FIND({0,1,2,3,4,5,6,7,8,9}, F101 &amp; "0123456789")) - 1)</f>
        <v>T</v>
      </c>
      <c r="B101" s="1">
        <f t="shared" si="2"/>
        <v>122</v>
      </c>
      <c r="C101" s="1"/>
      <c r="D101" s="1">
        <f t="shared" si="3"/>
        <v>22</v>
      </c>
      <c r="E101" s="1" t="s">
        <v>1800</v>
      </c>
      <c r="F101" s="63" t="s">
        <v>160</v>
      </c>
      <c r="G101" s="71" t="s">
        <v>1801</v>
      </c>
    </row>
    <row r="102" spans="1:7" ht="24.95" customHeight="1">
      <c r="A102" s="5" t="str">
        <f t="array" ref="A102">LEFT(F102, MIN(FIND({0,1,2,3,4,5,6,7,8,9}, F102 &amp; "0123456789")) - 1)</f>
        <v>T</v>
      </c>
      <c r="B102" s="1">
        <f t="shared" si="2"/>
        <v>123</v>
      </c>
      <c r="C102" s="1"/>
      <c r="D102" s="1">
        <f t="shared" si="3"/>
        <v>23</v>
      </c>
      <c r="E102" s="1" t="s">
        <v>1802</v>
      </c>
      <c r="F102" s="63" t="s">
        <v>164</v>
      </c>
      <c r="G102" s="71" t="s">
        <v>1803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0</v>
      </c>
      <c r="C103" s="1"/>
      <c r="D103" s="1">
        <f t="shared" si="3"/>
        <v>13</v>
      </c>
      <c r="E103" s="1" t="s">
        <v>1672</v>
      </c>
      <c r="F103" s="63" t="s">
        <v>803</v>
      </c>
      <c r="G103" s="71" t="s">
        <v>1673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0.1</v>
      </c>
      <c r="C104" s="1"/>
      <c r="D104" s="1">
        <f t="shared" si="3"/>
        <v>18</v>
      </c>
      <c r="E104" s="1" t="s">
        <v>1044</v>
      </c>
      <c r="F104" s="63" t="s">
        <v>557</v>
      </c>
      <c r="G104" s="71" t="s">
        <v>805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0.2</v>
      </c>
      <c r="C105" s="1"/>
      <c r="D105" s="1">
        <f t="shared" si="3"/>
        <v>19</v>
      </c>
      <c r="E105" s="46" t="s">
        <v>1045</v>
      </c>
      <c r="F105" s="1" t="s">
        <v>558</v>
      </c>
      <c r="G105" s="26" t="s">
        <v>807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0.3</v>
      </c>
      <c r="C106" s="1"/>
      <c r="D106" s="1">
        <f t="shared" si="3"/>
        <v>18</v>
      </c>
      <c r="E106" s="46" t="s">
        <v>1046</v>
      </c>
      <c r="F106" s="1" t="s">
        <v>559</v>
      </c>
      <c r="G106" s="43" t="s">
        <v>809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0.4</v>
      </c>
      <c r="C107" s="1"/>
      <c r="D107" s="1">
        <f t="shared" si="3"/>
        <v>21</v>
      </c>
      <c r="E107" s="1" t="s">
        <v>1674</v>
      </c>
      <c r="F107" s="1" t="s">
        <v>560</v>
      </c>
      <c r="G107" s="26" t="s">
        <v>1675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0.5</v>
      </c>
      <c r="C108" s="1"/>
      <c r="D108" s="1">
        <f t="shared" si="3"/>
        <v>11</v>
      </c>
      <c r="E108" s="1" t="s">
        <v>811</v>
      </c>
      <c r="F108" s="1" t="s">
        <v>561</v>
      </c>
      <c r="G108" s="26" t="s">
        <v>812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0.6</v>
      </c>
      <c r="C109" s="1"/>
      <c r="D109" s="1">
        <f t="shared" si="3"/>
        <v>9</v>
      </c>
      <c r="E109" s="1" t="s">
        <v>1047</v>
      </c>
      <c r="F109" s="1" t="s">
        <v>562</v>
      </c>
      <c r="G109" s="26" t="s">
        <v>814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0.7</v>
      </c>
      <c r="C110" s="1"/>
      <c r="D110" s="1">
        <f t="shared" si="3"/>
        <v>10</v>
      </c>
      <c r="E110" s="1" t="s">
        <v>815</v>
      </c>
      <c r="F110" s="7" t="s">
        <v>563</v>
      </c>
      <c r="G110" s="26" t="s">
        <v>816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</v>
      </c>
      <c r="C111" s="1"/>
      <c r="D111" s="1">
        <f t="shared" si="3"/>
        <v>11</v>
      </c>
      <c r="E111" s="46" t="s">
        <v>817</v>
      </c>
      <c r="F111" s="1" t="s">
        <v>818</v>
      </c>
      <c r="G111" s="26" t="s">
        <v>819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1.1000000000000001</v>
      </c>
      <c r="C112" s="1"/>
      <c r="D112" s="1">
        <f t="shared" si="3"/>
        <v>17</v>
      </c>
      <c r="E112" s="1" t="s">
        <v>820</v>
      </c>
      <c r="F112" s="1" t="s">
        <v>564</v>
      </c>
      <c r="G112" s="26" t="s">
        <v>821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2</v>
      </c>
      <c r="C113" s="1"/>
      <c r="D113" s="1">
        <f t="shared" si="3"/>
        <v>11</v>
      </c>
      <c r="E113" s="1" t="s">
        <v>1676</v>
      </c>
      <c r="F113" s="46" t="s">
        <v>823</v>
      </c>
      <c r="G113" s="26" t="s">
        <v>1677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2.1</v>
      </c>
      <c r="C114" s="1"/>
      <c r="D114" s="1">
        <f t="shared" si="3"/>
        <v>14</v>
      </c>
      <c r="E114" s="1" t="s">
        <v>1678</v>
      </c>
      <c r="F114" s="46" t="s">
        <v>571</v>
      </c>
      <c r="G114" s="26" t="s">
        <v>1479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2.2000000000000002</v>
      </c>
      <c r="C115" s="1"/>
      <c r="D115" s="1">
        <f t="shared" si="3"/>
        <v>11</v>
      </c>
      <c r="E115" s="1" t="s">
        <v>1679</v>
      </c>
      <c r="F115" s="46" t="s">
        <v>572</v>
      </c>
      <c r="G115" s="26" t="s">
        <v>828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2.2999999999999998</v>
      </c>
      <c r="C116" s="1"/>
      <c r="D116" s="1">
        <f t="shared" si="3"/>
        <v>10</v>
      </c>
      <c r="E116" s="1" t="s">
        <v>829</v>
      </c>
      <c r="F116" s="46" t="s">
        <v>573</v>
      </c>
      <c r="G116" s="26" t="s">
        <v>830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2.4</v>
      </c>
      <c r="C117" s="1"/>
      <c r="D117" s="1">
        <f t="shared" si="3"/>
        <v>17</v>
      </c>
      <c r="E117" s="1" t="s">
        <v>1480</v>
      </c>
      <c r="F117" s="46" t="s">
        <v>574</v>
      </c>
      <c r="G117" s="41" t="s">
        <v>832</v>
      </c>
    </row>
    <row r="118" spans="1:7" ht="24.95" customHeight="1">
      <c r="A118" s="5" t="str">
        <f t="array" ref="A118">LEFT(F118, MIN(FIND({0,1,2,3,4,5,6,7,8,9}, F118 &amp; "0123456789")) - 1)</f>
        <v>V</v>
      </c>
      <c r="B118" s="1">
        <f t="shared" si="2"/>
        <v>2.5</v>
      </c>
      <c r="C118" s="1"/>
      <c r="D118" s="1">
        <f t="shared" si="3"/>
        <v>15</v>
      </c>
      <c r="E118" s="1" t="s">
        <v>1481</v>
      </c>
      <c r="F118" s="1" t="s">
        <v>575</v>
      </c>
      <c r="G118" s="26" t="s">
        <v>834</v>
      </c>
    </row>
    <row r="119" spans="1:7" ht="24.95" customHeight="1">
      <c r="A119" s="5" t="str">
        <f t="array" ref="A119">LEFT(F119, MIN(FIND({0,1,2,3,4,5,6,7,8,9}, F119 &amp; "0123456789")) - 1)</f>
        <v>V</v>
      </c>
      <c r="B119" s="1">
        <f t="shared" si="2"/>
        <v>2.6</v>
      </c>
      <c r="C119" s="1"/>
      <c r="D119" s="1">
        <f t="shared" si="3"/>
        <v>16</v>
      </c>
      <c r="E119" s="1" t="s">
        <v>1482</v>
      </c>
      <c r="F119" s="1" t="s">
        <v>576</v>
      </c>
      <c r="G119" s="26" t="s">
        <v>87</v>
      </c>
    </row>
    <row r="120" spans="1:7" ht="24.95" customHeight="1">
      <c r="A120" s="5" t="str">
        <f t="array" ref="A120">LEFT(F120, MIN(FIND({0,1,2,3,4,5,6,7,8,9}, F120 &amp; "0123456789")) - 1)</f>
        <v>V</v>
      </c>
      <c r="B120" s="1">
        <f t="shared" si="2"/>
        <v>2.7</v>
      </c>
      <c r="C120" s="1"/>
      <c r="D120" s="1">
        <f t="shared" si="3"/>
        <v>14</v>
      </c>
      <c r="E120" s="1" t="s">
        <v>1680</v>
      </c>
      <c r="F120" s="1" t="s">
        <v>577</v>
      </c>
      <c r="G120" s="26" t="s">
        <v>837</v>
      </c>
    </row>
    <row r="121" spans="1:7" ht="24.95" customHeight="1">
      <c r="A121" s="5" t="str">
        <f t="array" ref="A121">LEFT(F121, MIN(FIND({0,1,2,3,4,5,6,7,8,9}, F121 &amp; "0123456789")) - 1)</f>
        <v>V</v>
      </c>
      <c r="B121" s="1">
        <f t="shared" si="2"/>
        <v>1620</v>
      </c>
      <c r="C121" s="1"/>
      <c r="D121" s="1">
        <f t="shared" si="3"/>
        <v>21</v>
      </c>
      <c r="E121" s="1" t="s">
        <v>1594</v>
      </c>
      <c r="F121" s="1" t="s">
        <v>1681</v>
      </c>
      <c r="G121" s="26" t="s">
        <v>1595</v>
      </c>
    </row>
    <row r="122" spans="1:7" ht="24.95" customHeight="1">
      <c r="A122" s="5" t="str">
        <f t="array" ref="A122">LEFT(F122, MIN(FIND({0,1,2,3,4,5,6,7,8,9}, F122 &amp; "0123456789")) - 1)</f>
        <v>V</v>
      </c>
      <c r="B122" s="1">
        <f t="shared" si="2"/>
        <v>1620.1</v>
      </c>
      <c r="C122" s="1"/>
      <c r="D122" s="1">
        <f t="shared" si="3"/>
        <v>20</v>
      </c>
      <c r="E122" s="1" t="s">
        <v>1596</v>
      </c>
      <c r="F122" s="1" t="s">
        <v>1585</v>
      </c>
      <c r="G122" s="26" t="s">
        <v>1111</v>
      </c>
    </row>
    <row r="123" spans="1:7" ht="24.95" customHeight="1">
      <c r="A123" s="5" t="str">
        <f t="array" ref="A123">LEFT(F123, MIN(FIND({0,1,2,3,4,5,6,7,8,9}, F123 &amp; "0123456789")) - 1)</f>
        <v>V</v>
      </c>
      <c r="B123" s="1">
        <f t="shared" si="2"/>
        <v>1620.2</v>
      </c>
      <c r="C123" s="1"/>
      <c r="D123" s="1">
        <f t="shared" si="3"/>
        <v>19</v>
      </c>
      <c r="E123" s="1" t="s">
        <v>1597</v>
      </c>
      <c r="F123" s="1" t="s">
        <v>1586</v>
      </c>
      <c r="G123" s="26" t="s">
        <v>1113</v>
      </c>
    </row>
    <row r="124" spans="1:7" ht="24.95" customHeight="1">
      <c r="A124" s="5" t="str">
        <f t="array" ref="A124">LEFT(F124, MIN(FIND({0,1,2,3,4,5,6,7,8,9}, F124 &amp; "0123456789")) - 1)</f>
        <v>V</v>
      </c>
      <c r="B124" s="1">
        <f t="shared" si="2"/>
        <v>1620.3</v>
      </c>
      <c r="C124" s="1">
        <v>300</v>
      </c>
      <c r="D124" s="1">
        <f t="shared" si="3"/>
        <v>20</v>
      </c>
      <c r="E124" s="1" t="s">
        <v>1598</v>
      </c>
      <c r="F124" s="1" t="s">
        <v>1587</v>
      </c>
      <c r="G124" s="26" t="s">
        <v>1115</v>
      </c>
    </row>
    <row r="125" spans="1:7" ht="24.95" customHeight="1">
      <c r="A125" s="5" t="str">
        <f t="array" ref="A125">LEFT(F125, MIN(FIND({0,1,2,3,4,5,6,7,8,9}, F125 &amp; "0123456789")) - 1)</f>
        <v>V</v>
      </c>
      <c r="B125" s="1">
        <f t="shared" si="2"/>
        <v>1620.4</v>
      </c>
      <c r="C125" s="1"/>
      <c r="D125" s="1">
        <f t="shared" si="3"/>
        <v>21</v>
      </c>
      <c r="E125" s="46" t="s">
        <v>1599</v>
      </c>
      <c r="F125" s="1" t="s">
        <v>1588</v>
      </c>
      <c r="G125" s="26" t="s">
        <v>1682</v>
      </c>
    </row>
    <row r="126" spans="1:7" ht="24.95" customHeight="1">
      <c r="A126" s="5" t="str">
        <f t="array" ref="A126">LEFT(F126, MIN(FIND({0,1,2,3,4,5,6,7,8,9}, F126 &amp; "0123456789")) - 1)</f>
        <v>V</v>
      </c>
      <c r="B126" s="1">
        <f t="shared" si="2"/>
        <v>1620.5</v>
      </c>
      <c r="C126" s="1">
        <v>360</v>
      </c>
      <c r="D126" s="1">
        <f t="shared" si="3"/>
        <v>16</v>
      </c>
      <c r="E126" s="1" t="s">
        <v>1118</v>
      </c>
      <c r="F126" s="1" t="s">
        <v>1589</v>
      </c>
      <c r="G126" s="26" t="s">
        <v>1683</v>
      </c>
    </row>
    <row r="127" spans="1:7" ht="24.95" customHeight="1">
      <c r="A127" s="5" t="str">
        <f t="array" ref="A127">LEFT(F127, MIN(FIND({0,1,2,3,4,5,6,7,8,9}, F127 &amp; "0123456789")) - 1)</f>
        <v>V</v>
      </c>
      <c r="B127" s="1">
        <f t="shared" si="2"/>
        <v>1620.6</v>
      </c>
      <c r="C127" s="1">
        <v>364</v>
      </c>
      <c r="D127" s="1">
        <f t="shared" si="3"/>
        <v>17</v>
      </c>
      <c r="E127" s="1" t="s">
        <v>1120</v>
      </c>
      <c r="F127" s="1" t="s">
        <v>1590</v>
      </c>
      <c r="G127" s="26" t="s">
        <v>1684</v>
      </c>
    </row>
    <row r="128" spans="1:7" ht="24.95" customHeight="1">
      <c r="A128" s="5" t="str">
        <f t="array" ref="A128">LEFT(F128, MIN(FIND({0,1,2,3,4,5,6,7,8,9}, F128 &amp; "0123456789")) - 1)</f>
        <v>V</v>
      </c>
      <c r="B128" s="1">
        <f t="shared" si="2"/>
        <v>1620.7</v>
      </c>
      <c r="C128" s="1">
        <v>368</v>
      </c>
      <c r="D128" s="1">
        <f t="shared" si="3"/>
        <v>18</v>
      </c>
      <c r="E128" s="1" t="s">
        <v>1122</v>
      </c>
      <c r="F128" s="1" t="s">
        <v>1591</v>
      </c>
      <c r="G128" s="26" t="s">
        <v>1685</v>
      </c>
    </row>
    <row r="129" spans="1:7" ht="24.95" customHeight="1">
      <c r="A129" s="5" t="str">
        <f t="array" ref="A129">LEFT(F129, MIN(FIND({0,1,2,3,4,5,6,7,8,9}, F129 &amp; "0123456789")) - 1)</f>
        <v>V</v>
      </c>
      <c r="B129" s="1">
        <f t="shared" si="2"/>
        <v>1621</v>
      </c>
      <c r="C129" s="1">
        <v>372</v>
      </c>
      <c r="D129" s="1">
        <f t="shared" si="3"/>
        <v>19</v>
      </c>
      <c r="E129" s="1" t="s">
        <v>1124</v>
      </c>
      <c r="F129" s="1" t="s">
        <v>1592</v>
      </c>
      <c r="G129" s="26" t="s">
        <v>1686</v>
      </c>
    </row>
    <row r="130" spans="1:7" ht="24.95" customHeight="1">
      <c r="A130" s="5" t="str">
        <f t="array" ref="A130">LEFT(F130, MIN(FIND({0,1,2,3,4,5,6,7,8,9}, F130 &amp; "0123456789")) - 1)</f>
        <v>V</v>
      </c>
      <c r="B130" s="1">
        <f t="shared" ref="B130:B193" si="4">VALUE(RIGHT(F130,LEN(F130)-LEN(A130)))</f>
        <v>1621.1</v>
      </c>
      <c r="C130" s="1">
        <v>304</v>
      </c>
      <c r="D130" s="1">
        <f t="shared" ref="D130:D193" si="5">LEN(E130)</f>
        <v>21</v>
      </c>
      <c r="E130" s="1" t="s">
        <v>1126</v>
      </c>
      <c r="F130" s="1" t="s">
        <v>1593</v>
      </c>
      <c r="G130" s="26" t="s">
        <v>1687</v>
      </c>
    </row>
    <row r="131" spans="1:7" ht="24.95" customHeight="1">
      <c r="A131" s="5" t="str">
        <f t="array" ref="A131">LEFT(F131, MIN(FIND({0,1,2,3,4,5,6,7,8,9}, F131 &amp; "0123456789")) - 1)</f>
        <v>VB</v>
      </c>
      <c r="B131" s="1">
        <f t="shared" si="4"/>
        <v>800</v>
      </c>
      <c r="C131" s="1">
        <v>376</v>
      </c>
      <c r="D131" s="1">
        <f t="shared" si="5"/>
        <v>15</v>
      </c>
      <c r="E131" s="1" t="s">
        <v>1326</v>
      </c>
      <c r="F131" s="7" t="s">
        <v>1327</v>
      </c>
      <c r="G131" s="26" t="s">
        <v>1328</v>
      </c>
    </row>
    <row r="132" spans="1:7" ht="24.95" customHeight="1">
      <c r="A132" s="5" t="str">
        <f t="array" ref="A132">LEFT(F132, MIN(FIND({0,1,2,3,4,5,6,7,8,9}, F132 &amp; "0123456789")) - 1)</f>
        <v>VB</v>
      </c>
      <c r="B132" s="1">
        <f t="shared" si="4"/>
        <v>802</v>
      </c>
      <c r="C132" s="1">
        <v>380</v>
      </c>
      <c r="D132" s="1">
        <f t="shared" si="5"/>
        <v>17</v>
      </c>
      <c r="E132" s="1" t="s">
        <v>1329</v>
      </c>
      <c r="F132" s="1" t="s">
        <v>1332</v>
      </c>
      <c r="G132" s="26" t="s">
        <v>770</v>
      </c>
    </row>
    <row r="133" spans="1:7" ht="24.95" customHeight="1">
      <c r="A133" s="5" t="str">
        <f t="array" ref="A133">LEFT(F133, MIN(FIND({0,1,2,3,4,5,6,7,8,9}, F133 &amp; "0123456789")) - 1)</f>
        <v>VB</v>
      </c>
      <c r="B133" s="1">
        <f t="shared" si="4"/>
        <v>804</v>
      </c>
      <c r="C133" s="1">
        <v>384</v>
      </c>
      <c r="D133" s="1">
        <f t="shared" si="5"/>
        <v>18</v>
      </c>
      <c r="E133" s="1" t="s">
        <v>1331</v>
      </c>
      <c r="F133" s="1" t="s">
        <v>1334</v>
      </c>
      <c r="G133" s="26" t="s">
        <v>772</v>
      </c>
    </row>
    <row r="134" spans="1:7" ht="24.95" customHeight="1">
      <c r="A134" s="5" t="str">
        <f t="array" ref="A134">LEFT(F134, MIN(FIND({0,1,2,3,4,5,6,7,8,9}, F134 &amp; "0123456789")) - 1)</f>
        <v>VB</v>
      </c>
      <c r="B134" s="1">
        <f t="shared" si="4"/>
        <v>806</v>
      </c>
      <c r="C134" s="1">
        <v>388</v>
      </c>
      <c r="D134" s="1">
        <f t="shared" si="5"/>
        <v>15</v>
      </c>
      <c r="E134" s="1" t="s">
        <v>1333</v>
      </c>
      <c r="F134" s="1" t="s">
        <v>1337</v>
      </c>
      <c r="G134" s="26" t="s">
        <v>1335</v>
      </c>
    </row>
    <row r="135" spans="1:7" ht="24.95" customHeight="1">
      <c r="A135" s="5" t="str">
        <f t="array" ref="A135">LEFT(F135, MIN(FIND({0,1,2,3,4,5,6,7,8,9}, F135 &amp; "0123456789")) - 1)</f>
        <v>VB</v>
      </c>
      <c r="B135" s="1">
        <f t="shared" si="4"/>
        <v>808</v>
      </c>
      <c r="C135" s="1">
        <v>392</v>
      </c>
      <c r="D135" s="1">
        <f t="shared" si="5"/>
        <v>13</v>
      </c>
      <c r="E135" s="1" t="s">
        <v>1483</v>
      </c>
      <c r="F135" s="1" t="s">
        <v>1340</v>
      </c>
      <c r="G135" s="26" t="s">
        <v>1338</v>
      </c>
    </row>
    <row r="136" spans="1:7" ht="24.95" customHeight="1">
      <c r="A136" s="5" t="str">
        <f t="array" ref="A136">LEFT(F136, MIN(FIND({0,1,2,3,4,5,6,7,8,9}, F136 &amp; "0123456789")) - 1)</f>
        <v>VB</v>
      </c>
      <c r="B136" s="1">
        <f t="shared" si="4"/>
        <v>810</v>
      </c>
      <c r="C136" s="1">
        <v>396</v>
      </c>
      <c r="D136" s="1">
        <f t="shared" si="5"/>
        <v>18</v>
      </c>
      <c r="E136" s="1" t="s">
        <v>1339</v>
      </c>
      <c r="F136" s="1" t="s">
        <v>1515</v>
      </c>
      <c r="G136" s="26" t="s">
        <v>1341</v>
      </c>
    </row>
    <row r="137" spans="1:7" ht="24.95" customHeight="1">
      <c r="A137" s="5" t="str">
        <f t="array" ref="A137">LEFT(F137, MIN(FIND({0,1,2,3,4,5,6,7,8,9}, F137 &amp; "0123456789")) - 1)</f>
        <v>VB</v>
      </c>
      <c r="B137" s="1">
        <f t="shared" si="4"/>
        <v>812</v>
      </c>
      <c r="C137" s="1"/>
      <c r="D137" s="1">
        <f t="shared" si="5"/>
        <v>22</v>
      </c>
      <c r="E137" s="46" t="s">
        <v>1804</v>
      </c>
      <c r="F137" s="7" t="s">
        <v>1805</v>
      </c>
      <c r="G137" s="26" t="s">
        <v>1806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20</v>
      </c>
      <c r="C138" s="1">
        <v>400</v>
      </c>
      <c r="D138" s="1">
        <f t="shared" si="5"/>
        <v>19</v>
      </c>
      <c r="E138" s="1" t="s">
        <v>1522</v>
      </c>
      <c r="F138" s="1" t="s">
        <v>1342</v>
      </c>
      <c r="G138" s="26" t="s">
        <v>1523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24</v>
      </c>
      <c r="C139" s="1">
        <v>404</v>
      </c>
      <c r="D139" s="1">
        <f t="shared" si="5"/>
        <v>22</v>
      </c>
      <c r="E139" s="1" t="s">
        <v>1130</v>
      </c>
      <c r="F139" s="1" t="s">
        <v>1343</v>
      </c>
      <c r="G139" s="26" t="s">
        <v>1131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32</v>
      </c>
      <c r="C140" s="1">
        <v>408</v>
      </c>
      <c r="D140" s="1">
        <f t="shared" si="5"/>
        <v>23</v>
      </c>
      <c r="E140" s="1" t="s">
        <v>1508</v>
      </c>
      <c r="F140" s="7" t="s">
        <v>1345</v>
      </c>
      <c r="G140" s="26" t="s">
        <v>1133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36</v>
      </c>
      <c r="C141" s="1">
        <v>308</v>
      </c>
      <c r="D141" s="1">
        <f t="shared" si="5"/>
        <v>23</v>
      </c>
      <c r="E141" s="1" t="s">
        <v>1509</v>
      </c>
      <c r="F141" s="1" t="s">
        <v>1347</v>
      </c>
      <c r="G141" s="26" t="s">
        <v>1135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40</v>
      </c>
      <c r="C142" s="1">
        <v>412</v>
      </c>
      <c r="D142" s="1">
        <f t="shared" si="5"/>
        <v>20</v>
      </c>
      <c r="E142" s="1" t="s">
        <v>1688</v>
      </c>
      <c r="F142" s="1" t="s">
        <v>1348</v>
      </c>
      <c r="G142" s="26" t="s">
        <v>1143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44</v>
      </c>
      <c r="C143" s="1">
        <v>416</v>
      </c>
      <c r="D143" s="1">
        <f t="shared" si="5"/>
        <v>20</v>
      </c>
      <c r="E143" s="1" t="s">
        <v>1689</v>
      </c>
      <c r="F143" s="1" t="s">
        <v>1349</v>
      </c>
      <c r="G143" s="26" t="s">
        <v>1145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48</v>
      </c>
      <c r="C144" s="1">
        <v>420</v>
      </c>
      <c r="D144" s="1">
        <f t="shared" si="5"/>
        <v>19</v>
      </c>
      <c r="E144" s="1" t="s">
        <v>1510</v>
      </c>
      <c r="F144" s="1" t="s">
        <v>1350</v>
      </c>
      <c r="G144" s="26" t="s">
        <v>1351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52</v>
      </c>
      <c r="C145" s="1">
        <v>424</v>
      </c>
      <c r="D145" s="1">
        <f t="shared" si="5"/>
        <v>19</v>
      </c>
      <c r="E145" s="1" t="s">
        <v>1511</v>
      </c>
      <c r="F145" s="1" t="s">
        <v>1352</v>
      </c>
      <c r="G145" s="26" t="s">
        <v>1353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56</v>
      </c>
      <c r="C146" s="1">
        <v>428</v>
      </c>
      <c r="D146" s="1">
        <f t="shared" si="5"/>
        <v>14</v>
      </c>
      <c r="E146" s="1" t="s">
        <v>1354</v>
      </c>
      <c r="F146" s="1" t="s">
        <v>1355</v>
      </c>
      <c r="G146" s="26" t="s">
        <v>1356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60</v>
      </c>
      <c r="C147" s="1">
        <v>432</v>
      </c>
      <c r="D147" s="1">
        <f t="shared" si="5"/>
        <v>14</v>
      </c>
      <c r="E147" s="1" t="s">
        <v>1161</v>
      </c>
      <c r="F147" s="1" t="s">
        <v>1357</v>
      </c>
      <c r="G147" s="26" t="s">
        <v>162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64</v>
      </c>
      <c r="C148" s="1">
        <v>436</v>
      </c>
      <c r="D148" s="1">
        <f t="shared" si="5"/>
        <v>21</v>
      </c>
      <c r="E148" s="1" t="s">
        <v>1162</v>
      </c>
      <c r="F148" s="1" t="s">
        <v>1358</v>
      </c>
      <c r="G148" s="26" t="s">
        <v>1163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68</v>
      </c>
      <c r="C149" s="1"/>
      <c r="D149" s="1">
        <f t="shared" si="5"/>
        <v>21</v>
      </c>
      <c r="E149" s="46" t="s">
        <v>1164</v>
      </c>
      <c r="F149" s="1" t="s">
        <v>1359</v>
      </c>
      <c r="G149" s="41" t="s">
        <v>1165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72</v>
      </c>
      <c r="C150" s="1">
        <v>440</v>
      </c>
      <c r="D150" s="1">
        <f t="shared" si="5"/>
        <v>19</v>
      </c>
      <c r="E150" s="1" t="s">
        <v>1690</v>
      </c>
      <c r="F150" s="7" t="s">
        <v>1360</v>
      </c>
      <c r="G150" s="26" t="s">
        <v>1691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76</v>
      </c>
      <c r="C151" s="1">
        <v>444</v>
      </c>
      <c r="D151" s="1">
        <f t="shared" si="5"/>
        <v>19</v>
      </c>
      <c r="E151" s="1" t="s">
        <v>1169</v>
      </c>
      <c r="F151" s="1" t="s">
        <v>1361</v>
      </c>
      <c r="G151" s="26" t="s">
        <v>1170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80</v>
      </c>
      <c r="C152" s="1">
        <v>312</v>
      </c>
      <c r="D152" s="1">
        <f t="shared" si="5"/>
        <v>16</v>
      </c>
      <c r="E152" s="1" t="s">
        <v>1362</v>
      </c>
      <c r="F152" s="1" t="s">
        <v>1363</v>
      </c>
      <c r="G152" s="26" t="s">
        <v>1364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84</v>
      </c>
      <c r="C153" s="1">
        <v>448</v>
      </c>
      <c r="D153" s="1">
        <f t="shared" si="5"/>
        <v>15</v>
      </c>
      <c r="E153" s="1" t="s">
        <v>1173</v>
      </c>
      <c r="F153" s="1" t="s">
        <v>1365</v>
      </c>
      <c r="G153" s="26" t="s">
        <v>1174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88</v>
      </c>
      <c r="C154" s="1">
        <v>452</v>
      </c>
      <c r="D154" s="1">
        <f t="shared" si="5"/>
        <v>18</v>
      </c>
      <c r="E154" s="1" t="s">
        <v>1128</v>
      </c>
      <c r="F154" s="1" t="s">
        <v>1524</v>
      </c>
      <c r="G154" s="26" t="s">
        <v>1525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92</v>
      </c>
      <c r="C155" s="1">
        <v>456</v>
      </c>
      <c r="D155" s="1">
        <f t="shared" si="5"/>
        <v>20</v>
      </c>
      <c r="E155" s="1" t="s">
        <v>1692</v>
      </c>
      <c r="F155" s="1" t="s">
        <v>1693</v>
      </c>
      <c r="G155" s="26" t="s">
        <v>1694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96</v>
      </c>
      <c r="C156" s="1">
        <v>460</v>
      </c>
      <c r="D156" s="1">
        <f t="shared" si="5"/>
        <v>20</v>
      </c>
      <c r="E156" s="1" t="s">
        <v>1695</v>
      </c>
      <c r="F156" s="1" t="s">
        <v>1696</v>
      </c>
      <c r="G156" s="26" t="s">
        <v>1697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100</v>
      </c>
      <c r="C157" s="1">
        <v>464</v>
      </c>
      <c r="D157" s="1">
        <f t="shared" si="5"/>
        <v>20</v>
      </c>
      <c r="E157" s="1" t="s">
        <v>1807</v>
      </c>
      <c r="F157" s="1" t="s">
        <v>1808</v>
      </c>
      <c r="G157" s="26" t="s">
        <v>1809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146</v>
      </c>
      <c r="C158" s="1">
        <v>468</v>
      </c>
      <c r="D158" s="1">
        <f t="shared" si="5"/>
        <v>20</v>
      </c>
      <c r="E158" s="1" t="s">
        <v>1810</v>
      </c>
      <c r="F158" s="1" t="s">
        <v>1811</v>
      </c>
      <c r="G158" s="26" t="s">
        <v>1812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150</v>
      </c>
      <c r="C159" s="1">
        <v>472</v>
      </c>
      <c r="D159" s="1">
        <f t="shared" si="5"/>
        <v>20</v>
      </c>
      <c r="E159" s="1" t="s">
        <v>1813</v>
      </c>
      <c r="F159" s="7" t="s">
        <v>1814</v>
      </c>
      <c r="G159" s="26" t="s">
        <v>1815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300</v>
      </c>
      <c r="C160" s="1">
        <v>476</v>
      </c>
      <c r="D160" s="1">
        <f t="shared" si="5"/>
        <v>22</v>
      </c>
      <c r="E160" s="5" t="s">
        <v>1136</v>
      </c>
      <c r="F160" s="1" t="s">
        <v>660</v>
      </c>
      <c r="G160" s="26" t="s">
        <v>1137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304</v>
      </c>
      <c r="C161" s="1"/>
      <c r="D161" s="1">
        <f t="shared" si="5"/>
        <v>22</v>
      </c>
      <c r="E161" s="46" t="s">
        <v>1138</v>
      </c>
      <c r="F161" s="1" t="s">
        <v>661</v>
      </c>
      <c r="G161" s="26" t="s">
        <v>1139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308</v>
      </c>
      <c r="C162" s="1">
        <v>480</v>
      </c>
      <c r="D162" s="1">
        <f t="shared" si="5"/>
        <v>20</v>
      </c>
      <c r="E162" s="5" t="s">
        <v>1140</v>
      </c>
      <c r="F162" s="1" t="s">
        <v>1366</v>
      </c>
      <c r="G162" s="26" t="s">
        <v>1141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312</v>
      </c>
      <c r="C163" s="1">
        <v>316</v>
      </c>
      <c r="D163" s="1">
        <f t="shared" si="5"/>
        <v>18</v>
      </c>
      <c r="E163" s="1" t="s">
        <v>1150</v>
      </c>
      <c r="F163" s="1" t="s">
        <v>1367</v>
      </c>
      <c r="G163" s="26" t="s">
        <v>1368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316</v>
      </c>
      <c r="C164" s="1">
        <v>484</v>
      </c>
      <c r="D164" s="1">
        <f t="shared" si="5"/>
        <v>18</v>
      </c>
      <c r="E164" s="5" t="s">
        <v>1152</v>
      </c>
      <c r="F164" s="1" t="s">
        <v>1369</v>
      </c>
      <c r="G164" s="26" t="s">
        <v>1370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320</v>
      </c>
      <c r="C165" s="1">
        <v>488</v>
      </c>
      <c r="D165" s="1">
        <f t="shared" si="5"/>
        <v>21</v>
      </c>
      <c r="E165" s="5" t="s">
        <v>1512</v>
      </c>
      <c r="F165" s="1" t="s">
        <v>1372</v>
      </c>
      <c r="G165" s="26" t="s">
        <v>1373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324</v>
      </c>
      <c r="C166" s="1">
        <v>492</v>
      </c>
      <c r="D166" s="1">
        <f t="shared" si="5"/>
        <v>11</v>
      </c>
      <c r="E166" s="5" t="s">
        <v>1374</v>
      </c>
      <c r="F166" s="1" t="s">
        <v>1375</v>
      </c>
      <c r="G166" s="26" t="s">
        <v>1376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328</v>
      </c>
      <c r="C167" s="1">
        <v>496</v>
      </c>
      <c r="D167" s="1">
        <f t="shared" si="5"/>
        <v>11</v>
      </c>
      <c r="E167" s="5" t="s">
        <v>1377</v>
      </c>
      <c r="F167" s="1" t="s">
        <v>1378</v>
      </c>
      <c r="G167" s="26" t="s">
        <v>1379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332</v>
      </c>
      <c r="C168" s="1">
        <v>500</v>
      </c>
      <c r="D168" s="1">
        <f t="shared" si="5"/>
        <v>11</v>
      </c>
      <c r="E168" s="1" t="s">
        <v>1380</v>
      </c>
      <c r="F168" s="1" t="s">
        <v>1381</v>
      </c>
      <c r="G168" s="26" t="s">
        <v>1382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336</v>
      </c>
      <c r="C169" s="1">
        <v>504</v>
      </c>
      <c r="D169" s="1">
        <f t="shared" si="5"/>
        <v>12</v>
      </c>
      <c r="E169" s="1" t="s">
        <v>1160</v>
      </c>
      <c r="F169" s="1" t="s">
        <v>1383</v>
      </c>
      <c r="G169" s="26" t="s">
        <v>1384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340</v>
      </c>
      <c r="C170" s="1">
        <v>508</v>
      </c>
      <c r="D170" s="1">
        <f t="shared" si="5"/>
        <v>17</v>
      </c>
      <c r="E170" s="1" t="s">
        <v>1484</v>
      </c>
      <c r="F170" s="1" t="s">
        <v>1385</v>
      </c>
      <c r="G170" s="26" t="s">
        <v>176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344</v>
      </c>
      <c r="C171" s="1">
        <v>512</v>
      </c>
      <c r="D171" s="1">
        <f t="shared" si="5"/>
        <v>20</v>
      </c>
      <c r="E171" s="1" t="s">
        <v>1485</v>
      </c>
      <c r="F171" s="1" t="s">
        <v>1249</v>
      </c>
      <c r="G171" s="26" t="s">
        <v>1386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348</v>
      </c>
      <c r="C172" s="1">
        <v>516</v>
      </c>
      <c r="D172" s="1">
        <f t="shared" si="5"/>
        <v>22</v>
      </c>
      <c r="E172" s="1" t="s">
        <v>1486</v>
      </c>
      <c r="F172" s="1" t="s">
        <v>1250</v>
      </c>
      <c r="G172" s="26" t="s">
        <v>1387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352</v>
      </c>
      <c r="C173" s="1"/>
      <c r="D173" s="1">
        <f t="shared" si="5"/>
        <v>16</v>
      </c>
      <c r="E173" s="46" t="s">
        <v>963</v>
      </c>
      <c r="F173" s="1" t="s">
        <v>1251</v>
      </c>
      <c r="G173" s="26" t="s">
        <v>1213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356</v>
      </c>
      <c r="C174" s="1"/>
      <c r="D174" s="1">
        <f t="shared" si="5"/>
        <v>16</v>
      </c>
      <c r="E174" s="46" t="s">
        <v>964</v>
      </c>
      <c r="F174" s="1" t="s">
        <v>1252</v>
      </c>
      <c r="G174" s="26" t="s">
        <v>1214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360</v>
      </c>
      <c r="C175" s="1">
        <v>520</v>
      </c>
      <c r="D175" s="1">
        <f t="shared" si="5"/>
        <v>16</v>
      </c>
      <c r="E175" s="1" t="s">
        <v>965</v>
      </c>
      <c r="F175" s="1" t="s">
        <v>1253</v>
      </c>
      <c r="G175" s="26" t="s">
        <v>1215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364</v>
      </c>
      <c r="C176" s="1">
        <v>524</v>
      </c>
      <c r="D176" s="1">
        <f t="shared" si="5"/>
        <v>16</v>
      </c>
      <c r="E176" s="1" t="s">
        <v>966</v>
      </c>
      <c r="F176" s="1" t="s">
        <v>1254</v>
      </c>
      <c r="G176" s="26" t="s">
        <v>1216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368</v>
      </c>
      <c r="C177" s="1"/>
      <c r="D177" s="1">
        <f t="shared" si="5"/>
        <v>16</v>
      </c>
      <c r="E177" s="1" t="s">
        <v>967</v>
      </c>
      <c r="F177" s="1" t="s">
        <v>1255</v>
      </c>
      <c r="G177" s="26" t="s">
        <v>1217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372</v>
      </c>
      <c r="C178" s="1"/>
      <c r="D178" s="1">
        <f t="shared" si="5"/>
        <v>16</v>
      </c>
      <c r="E178" s="1" t="s">
        <v>968</v>
      </c>
      <c r="F178" s="7" t="s">
        <v>1256</v>
      </c>
      <c r="G178" s="26" t="s">
        <v>1218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376</v>
      </c>
      <c r="C179" s="1"/>
      <c r="D179" s="1">
        <f t="shared" si="5"/>
        <v>16</v>
      </c>
      <c r="E179" s="1" t="s">
        <v>969</v>
      </c>
      <c r="F179" s="1" t="s">
        <v>1257</v>
      </c>
      <c r="G179" s="26" t="s">
        <v>1219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380</v>
      </c>
      <c r="C180" s="1">
        <v>640</v>
      </c>
      <c r="D180" s="1">
        <f t="shared" si="5"/>
        <v>16</v>
      </c>
      <c r="E180" s="1" t="s">
        <v>970</v>
      </c>
      <c r="F180" s="1" t="s">
        <v>1258</v>
      </c>
      <c r="G180" s="26" t="s">
        <v>1220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384</v>
      </c>
      <c r="C181" s="1">
        <v>644</v>
      </c>
      <c r="D181" s="1">
        <f t="shared" si="5"/>
        <v>16</v>
      </c>
      <c r="E181" s="1" t="s">
        <v>971</v>
      </c>
      <c r="F181" s="1" t="s">
        <v>1259</v>
      </c>
      <c r="G181" s="26" t="s">
        <v>1221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388</v>
      </c>
      <c r="C182" s="1">
        <v>648</v>
      </c>
      <c r="D182" s="1">
        <f t="shared" si="5"/>
        <v>17</v>
      </c>
      <c r="E182" s="1" t="s">
        <v>972</v>
      </c>
      <c r="F182" s="1" t="s">
        <v>1260</v>
      </c>
      <c r="G182" s="26" t="s">
        <v>1222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392</v>
      </c>
      <c r="C183" s="1">
        <v>652</v>
      </c>
      <c r="D183" s="1">
        <f t="shared" si="5"/>
        <v>17</v>
      </c>
      <c r="E183" s="5" t="s">
        <v>973</v>
      </c>
      <c r="F183" s="1" t="s">
        <v>1261</v>
      </c>
      <c r="G183" s="26" t="s">
        <v>1223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396</v>
      </c>
      <c r="C184" s="1">
        <v>68</v>
      </c>
      <c r="D184" s="1">
        <f t="shared" si="5"/>
        <v>17</v>
      </c>
      <c r="E184" s="1" t="s">
        <v>974</v>
      </c>
      <c r="F184" s="1" t="s">
        <v>1262</v>
      </c>
      <c r="G184" s="26" t="s">
        <v>1224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400</v>
      </c>
      <c r="C185" s="1">
        <v>320</v>
      </c>
      <c r="D185" s="1">
        <f t="shared" si="5"/>
        <v>17</v>
      </c>
      <c r="E185" s="46" t="s">
        <v>975</v>
      </c>
      <c r="F185" s="7" t="s">
        <v>1263</v>
      </c>
      <c r="G185" s="26" t="s">
        <v>1225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404</v>
      </c>
      <c r="C186" s="1">
        <v>72</v>
      </c>
      <c r="D186" s="1">
        <f t="shared" si="5"/>
        <v>17</v>
      </c>
      <c r="E186" s="1" t="s">
        <v>976</v>
      </c>
      <c r="F186" s="1" t="s">
        <v>1264</v>
      </c>
      <c r="G186" s="26" t="s">
        <v>1226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408</v>
      </c>
      <c r="C187" s="1">
        <v>76</v>
      </c>
      <c r="D187" s="1">
        <f t="shared" si="5"/>
        <v>17</v>
      </c>
      <c r="E187" s="1" t="s">
        <v>977</v>
      </c>
      <c r="F187" s="1" t="s">
        <v>1265</v>
      </c>
      <c r="G187" s="26" t="s">
        <v>1227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412</v>
      </c>
      <c r="C188" s="1">
        <v>324</v>
      </c>
      <c r="D188" s="1">
        <f t="shared" si="5"/>
        <v>17</v>
      </c>
      <c r="E188" s="1" t="s">
        <v>978</v>
      </c>
      <c r="F188" s="7" t="s">
        <v>1266</v>
      </c>
      <c r="G188" s="26" t="s">
        <v>1228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416</v>
      </c>
      <c r="C189" s="1">
        <v>328</v>
      </c>
      <c r="D189" s="1">
        <f t="shared" si="5"/>
        <v>17</v>
      </c>
      <c r="E189" s="1" t="s">
        <v>979</v>
      </c>
      <c r="F189" s="1" t="s">
        <v>1267</v>
      </c>
      <c r="G189" s="26" t="s">
        <v>1229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420</v>
      </c>
      <c r="C190" s="1">
        <v>332</v>
      </c>
      <c r="D190" s="1">
        <f t="shared" si="5"/>
        <v>17</v>
      </c>
      <c r="E190" s="1" t="s">
        <v>980</v>
      </c>
      <c r="F190" s="1" t="s">
        <v>1268</v>
      </c>
      <c r="G190" s="26" t="s">
        <v>1230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424</v>
      </c>
      <c r="C191" s="1">
        <v>336</v>
      </c>
      <c r="D191" s="1">
        <f t="shared" si="5"/>
        <v>20</v>
      </c>
      <c r="E191" s="1" t="s">
        <v>1487</v>
      </c>
      <c r="F191" s="1" t="s">
        <v>1269</v>
      </c>
      <c r="G191" s="26" t="s">
        <v>1388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428</v>
      </c>
      <c r="C192" s="1">
        <v>340</v>
      </c>
      <c r="D192" s="1">
        <f t="shared" si="5"/>
        <v>22</v>
      </c>
      <c r="E192" s="1" t="s">
        <v>1488</v>
      </c>
      <c r="F192" s="1" t="s">
        <v>1270</v>
      </c>
      <c r="G192" s="26" t="s">
        <v>1389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432</v>
      </c>
      <c r="C193" s="1">
        <v>344</v>
      </c>
      <c r="D193" s="1">
        <f t="shared" si="5"/>
        <v>16</v>
      </c>
      <c r="E193" s="1" t="s">
        <v>983</v>
      </c>
      <c r="F193" s="7" t="s">
        <v>1271</v>
      </c>
      <c r="G193" s="26" t="s">
        <v>1231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57" si="6">VALUE(RIGHT(F194,LEN(F194)-LEN(A194)))</f>
        <v>436</v>
      </c>
      <c r="C194" s="1">
        <v>348</v>
      </c>
      <c r="D194" s="1">
        <f t="shared" ref="D194:D257" si="7">LEN(E194)</f>
        <v>16</v>
      </c>
      <c r="E194" s="1" t="s">
        <v>984</v>
      </c>
      <c r="F194" s="1" t="s">
        <v>1272</v>
      </c>
      <c r="G194" s="26" t="s">
        <v>1232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440</v>
      </c>
      <c r="C195" s="1">
        <v>352</v>
      </c>
      <c r="D195" s="1">
        <f t="shared" si="7"/>
        <v>16</v>
      </c>
      <c r="E195" s="1" t="s">
        <v>985</v>
      </c>
      <c r="F195" s="1" t="s">
        <v>1273</v>
      </c>
      <c r="G195" s="26" t="s">
        <v>1233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444</v>
      </c>
      <c r="C196" s="1">
        <v>356</v>
      </c>
      <c r="D196" s="1">
        <f t="shared" si="7"/>
        <v>16</v>
      </c>
      <c r="E196" s="1" t="s">
        <v>986</v>
      </c>
      <c r="F196" s="1" t="s">
        <v>1274</v>
      </c>
      <c r="G196" s="26" t="s">
        <v>1234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448</v>
      </c>
      <c r="C197" s="1"/>
      <c r="D197" s="1">
        <f t="shared" si="7"/>
        <v>16</v>
      </c>
      <c r="E197" s="1" t="s">
        <v>987</v>
      </c>
      <c r="F197" s="1" t="s">
        <v>1275</v>
      </c>
      <c r="G197" s="41" t="s">
        <v>1235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452</v>
      </c>
      <c r="C198" s="1"/>
      <c r="D198" s="1">
        <f t="shared" si="7"/>
        <v>16</v>
      </c>
      <c r="E198" s="1" t="s">
        <v>988</v>
      </c>
      <c r="F198" s="1" t="s">
        <v>1276</v>
      </c>
      <c r="G198" s="26" t="s">
        <v>1236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456</v>
      </c>
      <c r="C199" s="1"/>
      <c r="D199" s="1">
        <f t="shared" si="7"/>
        <v>16</v>
      </c>
      <c r="E199" s="1" t="s">
        <v>989</v>
      </c>
      <c r="F199" s="1" t="s">
        <v>1277</v>
      </c>
      <c r="G199" s="26" t="s">
        <v>1237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460</v>
      </c>
      <c r="C200" s="1"/>
      <c r="D200" s="1">
        <f t="shared" si="7"/>
        <v>16</v>
      </c>
      <c r="E200" s="1" t="s">
        <v>990</v>
      </c>
      <c r="F200" s="1" t="s">
        <v>1278</v>
      </c>
      <c r="G200" s="26" t="s">
        <v>1238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464</v>
      </c>
      <c r="C201" s="1"/>
      <c r="D201" s="1">
        <f t="shared" si="7"/>
        <v>16</v>
      </c>
      <c r="E201" s="1" t="s">
        <v>991</v>
      </c>
      <c r="F201" s="1" t="s">
        <v>1279</v>
      </c>
      <c r="G201" s="71" t="s">
        <v>1239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468</v>
      </c>
      <c r="C202" s="1"/>
      <c r="D202" s="1">
        <f t="shared" si="7"/>
        <v>17</v>
      </c>
      <c r="E202" s="1" t="s">
        <v>992</v>
      </c>
      <c r="F202" s="1" t="s">
        <v>1280</v>
      </c>
      <c r="G202" s="26" t="s">
        <v>1240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472</v>
      </c>
      <c r="C203" s="1"/>
      <c r="D203" s="1">
        <f t="shared" si="7"/>
        <v>17</v>
      </c>
      <c r="E203" s="1" t="s">
        <v>993</v>
      </c>
      <c r="F203" s="1" t="s">
        <v>1281</v>
      </c>
      <c r="G203" s="26" t="s">
        <v>1241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476</v>
      </c>
      <c r="C204" s="1"/>
      <c r="D204" s="1">
        <f t="shared" si="7"/>
        <v>17</v>
      </c>
      <c r="E204" s="1" t="s">
        <v>994</v>
      </c>
      <c r="F204" s="1" t="s">
        <v>1282</v>
      </c>
      <c r="G204" s="26" t="s">
        <v>1242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480</v>
      </c>
      <c r="C205" s="1"/>
      <c r="D205" s="1">
        <f t="shared" si="7"/>
        <v>17</v>
      </c>
      <c r="E205" s="1" t="s">
        <v>995</v>
      </c>
      <c r="F205" s="1" t="s">
        <v>1283</v>
      </c>
      <c r="G205" s="26" t="s">
        <v>1243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484</v>
      </c>
      <c r="C206" s="1"/>
      <c r="D206" s="1">
        <f t="shared" si="7"/>
        <v>17</v>
      </c>
      <c r="E206" s="46" t="s">
        <v>996</v>
      </c>
      <c r="F206" s="1" t="s">
        <v>1284</v>
      </c>
      <c r="G206" s="26" t="s">
        <v>1244</v>
      </c>
    </row>
    <row r="207" spans="1:7" ht="24.95" customHeight="1">
      <c r="A207" s="5" t="str">
        <f t="array" ref="A207">LEFT(F207, MIN(FIND({0,1,2,3,4,5,6,7,8,9}, F207 &amp; "0123456789")) - 1)</f>
        <v>VD</v>
      </c>
      <c r="B207" s="1">
        <f t="shared" si="6"/>
        <v>488</v>
      </c>
      <c r="C207" s="1"/>
      <c r="D207" s="1">
        <f t="shared" si="7"/>
        <v>17</v>
      </c>
      <c r="E207" s="46" t="s">
        <v>997</v>
      </c>
      <c r="F207" s="46" t="s">
        <v>1285</v>
      </c>
      <c r="G207" s="26" t="s">
        <v>1245</v>
      </c>
    </row>
    <row r="208" spans="1:7" ht="24.95" customHeight="1">
      <c r="A208" s="5" t="str">
        <f t="array" ref="A208">LEFT(F208, MIN(FIND({0,1,2,3,4,5,6,7,8,9}, F208 &amp; "0123456789")) - 1)</f>
        <v>VD</v>
      </c>
      <c r="B208" s="1">
        <f t="shared" si="6"/>
        <v>492</v>
      </c>
      <c r="C208" s="1"/>
      <c r="D208" s="1">
        <f t="shared" si="7"/>
        <v>17</v>
      </c>
      <c r="E208" s="1" t="s">
        <v>998</v>
      </c>
      <c r="F208" s="1" t="s">
        <v>1286</v>
      </c>
      <c r="G208" s="26" t="s">
        <v>1246</v>
      </c>
    </row>
    <row r="209" spans="1:7" ht="24.95" customHeight="1">
      <c r="A209" s="5" t="str">
        <f t="array" ref="A209">LEFT(F209, MIN(FIND({0,1,2,3,4,5,6,7,8,9}, F209 &amp; "0123456789")) - 1)</f>
        <v>VD</v>
      </c>
      <c r="B209" s="1">
        <f t="shared" si="6"/>
        <v>496</v>
      </c>
      <c r="C209" s="1"/>
      <c r="D209" s="1">
        <f t="shared" si="7"/>
        <v>17</v>
      </c>
      <c r="E209" s="1" t="s">
        <v>999</v>
      </c>
      <c r="F209" s="1" t="s">
        <v>1287</v>
      </c>
      <c r="G209" s="26" t="s">
        <v>1247</v>
      </c>
    </row>
    <row r="210" spans="1:7" ht="24.95" customHeight="1">
      <c r="A210" s="5" t="str">
        <f t="array" ref="A210">LEFT(F210, MIN(FIND({0,1,2,3,4,5,6,7,8,9}, F210 &amp; "0123456789")) - 1)</f>
        <v>VD</v>
      </c>
      <c r="B210" s="1">
        <f t="shared" si="6"/>
        <v>500</v>
      </c>
      <c r="C210" s="1"/>
      <c r="D210" s="1">
        <f t="shared" si="7"/>
        <v>17</v>
      </c>
      <c r="E210" s="1" t="s">
        <v>1000</v>
      </c>
      <c r="F210" s="7" t="s">
        <v>19</v>
      </c>
      <c r="G210" s="26" t="s">
        <v>1248</v>
      </c>
    </row>
    <row r="211" spans="1:7" ht="24.95" customHeight="1">
      <c r="A211" s="5" t="str">
        <f t="array" ref="A211">LEFT(F211, MIN(FIND({0,1,2,3,4,5,6,7,8,9}, F211 &amp; "0123456789")) - 1)</f>
        <v>VD</v>
      </c>
      <c r="B211" s="1">
        <f t="shared" si="6"/>
        <v>504</v>
      </c>
      <c r="C211" s="1"/>
      <c r="D211" s="1">
        <f t="shared" si="7"/>
        <v>17</v>
      </c>
      <c r="E211" s="1" t="s">
        <v>1489</v>
      </c>
      <c r="F211" s="1" t="s">
        <v>39</v>
      </c>
      <c r="G211" s="26" t="s">
        <v>1004</v>
      </c>
    </row>
    <row r="212" spans="1:7" ht="24.95" customHeight="1">
      <c r="A212" s="5" t="str">
        <f t="array" ref="A212">LEFT(F212, MIN(FIND({0,1,2,3,4,5,6,7,8,9}, F212 &amp; "0123456789")) - 1)</f>
        <v>VD</v>
      </c>
      <c r="B212" s="1">
        <f t="shared" si="6"/>
        <v>508</v>
      </c>
      <c r="C212" s="1"/>
      <c r="D212" s="1">
        <f t="shared" si="7"/>
        <v>17</v>
      </c>
      <c r="E212" s="1" t="s">
        <v>1457</v>
      </c>
      <c r="F212" s="1" t="s">
        <v>53</v>
      </c>
      <c r="G212" s="26" t="s">
        <v>1003</v>
      </c>
    </row>
    <row r="213" spans="1:7" ht="24.95" customHeight="1">
      <c r="A213" s="5" t="str">
        <f t="array" ref="A213">LEFT(F213, MIN(FIND({0,1,2,3,4,5,6,7,8,9}, F213 &amp; "0123456789")) - 1)</f>
        <v>VD</v>
      </c>
      <c r="B213" s="1">
        <f t="shared" si="6"/>
        <v>512</v>
      </c>
      <c r="C213" s="1"/>
      <c r="D213" s="1">
        <f t="shared" si="7"/>
        <v>17</v>
      </c>
      <c r="E213" s="1" t="s">
        <v>1458</v>
      </c>
      <c r="F213" s="1" t="s">
        <v>62</v>
      </c>
      <c r="G213" s="26" t="s">
        <v>1005</v>
      </c>
    </row>
    <row r="214" spans="1:7" ht="24.95" customHeight="1">
      <c r="A214" s="5" t="str">
        <f t="array" ref="A214">LEFT(F214, MIN(FIND({0,1,2,3,4,5,6,7,8,9}, F214 &amp; "0123456789")) - 1)</f>
        <v>VD</v>
      </c>
      <c r="B214" s="1">
        <f t="shared" si="6"/>
        <v>516</v>
      </c>
      <c r="C214" s="1"/>
      <c r="D214" s="1">
        <f t="shared" si="7"/>
        <v>17</v>
      </c>
      <c r="E214" s="1" t="s">
        <v>1459</v>
      </c>
      <c r="F214" s="1" t="s">
        <v>72</v>
      </c>
      <c r="G214" s="26" t="s">
        <v>1006</v>
      </c>
    </row>
    <row r="215" spans="1:7" ht="24.95" customHeight="1">
      <c r="A215" s="5" t="str">
        <f t="array" ref="A215">LEFT(F215, MIN(FIND({0,1,2,3,4,5,6,7,8,9}, F215 &amp; "0123456789")) - 1)</f>
        <v>VD</v>
      </c>
      <c r="B215" s="1">
        <f t="shared" si="6"/>
        <v>520</v>
      </c>
      <c r="C215" s="1"/>
      <c r="D215" s="1">
        <f t="shared" si="7"/>
        <v>17</v>
      </c>
      <c r="E215" s="1" t="s">
        <v>1460</v>
      </c>
      <c r="F215" s="1" t="s">
        <v>83</v>
      </c>
      <c r="G215" s="26" t="s">
        <v>1007</v>
      </c>
    </row>
    <row r="216" spans="1:7" ht="24.95" customHeight="1">
      <c r="A216" s="5" t="str">
        <f t="array" ref="A216">LEFT(F216, MIN(FIND({0,1,2,3,4,5,6,7,8,9}, F216 &amp; "0123456789")) - 1)</f>
        <v>VD</v>
      </c>
      <c r="B216" s="1">
        <f t="shared" si="6"/>
        <v>524</v>
      </c>
      <c r="C216" s="1"/>
      <c r="D216" s="1">
        <f t="shared" si="7"/>
        <v>17</v>
      </c>
      <c r="E216" s="1" t="s">
        <v>1461</v>
      </c>
      <c r="F216" s="1" t="s">
        <v>92</v>
      </c>
      <c r="G216" s="26" t="s">
        <v>1008</v>
      </c>
    </row>
    <row r="217" spans="1:7" ht="24.95" customHeight="1">
      <c r="A217" s="5" t="str">
        <f t="array" ref="A217">LEFT(F217, MIN(FIND({0,1,2,3,4,5,6,7,8,9}, F217 &amp; "0123456789")) - 1)</f>
        <v>VD</v>
      </c>
      <c r="B217" s="1">
        <f t="shared" si="6"/>
        <v>586</v>
      </c>
      <c r="C217" s="1"/>
      <c r="D217" s="1">
        <f t="shared" si="7"/>
        <v>20</v>
      </c>
      <c r="E217" s="1" t="s">
        <v>1816</v>
      </c>
      <c r="F217" s="1" t="s">
        <v>1817</v>
      </c>
      <c r="G217" s="26" t="s">
        <v>1818</v>
      </c>
    </row>
    <row r="218" spans="1:7" ht="24.95" customHeight="1">
      <c r="A218" s="5" t="str">
        <f t="array" ref="A218">LEFT(F218, MIN(FIND({0,1,2,3,4,5,6,7,8,9}, F218 &amp; "0123456789")) - 1)</f>
        <v>VD</v>
      </c>
      <c r="B218" s="1">
        <f t="shared" si="6"/>
        <v>1640</v>
      </c>
      <c r="C218" s="1"/>
      <c r="D218" s="1">
        <f t="shared" si="7"/>
        <v>16</v>
      </c>
      <c r="E218" s="1" t="s">
        <v>1623</v>
      </c>
      <c r="F218" s="1" t="s">
        <v>1615</v>
      </c>
      <c r="G218" s="41" t="s">
        <v>1607</v>
      </c>
    </row>
    <row r="219" spans="1:7" ht="24.95" customHeight="1">
      <c r="A219" s="5" t="str">
        <f t="array" ref="A219">LEFT(F219, MIN(FIND({0,1,2,3,4,5,6,7,8,9}, F219 &amp; "0123456789")) - 1)</f>
        <v>VD</v>
      </c>
      <c r="B219" s="1">
        <f t="shared" si="6"/>
        <v>1644</v>
      </c>
      <c r="C219" s="1"/>
      <c r="D219" s="1">
        <f t="shared" si="7"/>
        <v>16</v>
      </c>
      <c r="E219" s="1" t="s">
        <v>1625</v>
      </c>
      <c r="F219" s="1" t="s">
        <v>1617</v>
      </c>
      <c r="G219" s="26" t="s">
        <v>1609</v>
      </c>
    </row>
    <row r="220" spans="1:7" ht="24.95" customHeight="1">
      <c r="A220" s="5" t="str">
        <f t="array" ref="A220">LEFT(F220, MIN(FIND({0,1,2,3,4,5,6,7,8,9}, F220 &amp; "0123456789")) - 1)</f>
        <v>VD</v>
      </c>
      <c r="B220" s="1">
        <f t="shared" si="6"/>
        <v>1648</v>
      </c>
      <c r="C220" s="1"/>
      <c r="D220" s="1">
        <f t="shared" si="7"/>
        <v>17</v>
      </c>
      <c r="E220" s="1" t="s">
        <v>1392</v>
      </c>
      <c r="F220" s="1" t="s">
        <v>1819</v>
      </c>
      <c r="G220" s="26" t="s">
        <v>1820</v>
      </c>
    </row>
    <row r="221" spans="1:7" ht="24.95" customHeight="1">
      <c r="A221" s="5" t="str">
        <f t="array" ref="A221">LEFT(F221, MIN(FIND({0,1,2,3,4,5,6,7,8,9}, F221 &amp; "0123456789")) - 1)</f>
        <v>VD</v>
      </c>
      <c r="B221" s="1">
        <f t="shared" si="6"/>
        <v>1652</v>
      </c>
      <c r="C221" s="1"/>
      <c r="D221" s="1">
        <f t="shared" si="7"/>
        <v>18</v>
      </c>
      <c r="E221" s="1" t="s">
        <v>1393</v>
      </c>
      <c r="F221" s="1" t="s">
        <v>1619</v>
      </c>
      <c r="G221" s="26" t="s">
        <v>1821</v>
      </c>
    </row>
    <row r="222" spans="1:7" ht="24.95" customHeight="1">
      <c r="A222" s="5" t="str">
        <f t="array" ref="A222">LEFT(F222, MIN(FIND({0,1,2,3,4,5,6,7,8,9}, F222 &amp; "0123456789")) - 1)</f>
        <v>VD</v>
      </c>
      <c r="B222" s="1">
        <f t="shared" si="6"/>
        <v>1880</v>
      </c>
      <c r="C222" s="1"/>
      <c r="D222" s="1">
        <f t="shared" si="7"/>
        <v>17</v>
      </c>
      <c r="E222" s="1" t="s">
        <v>1628</v>
      </c>
      <c r="F222" s="1" t="s">
        <v>1621</v>
      </c>
      <c r="G222" s="26" t="s">
        <v>1822</v>
      </c>
    </row>
    <row r="223" spans="1:7" ht="24.95" customHeight="1">
      <c r="A223" s="72" t="str">
        <f t="array" ref="A223">LEFT(F223, MIN(FIND({0,1,2,3,4,5,6,7,8,9}, F223 &amp; "0123456789")) - 1)</f>
        <v>VW</v>
      </c>
      <c r="B223" s="14">
        <f t="shared" si="6"/>
        <v>100</v>
      </c>
      <c r="C223" s="14"/>
      <c r="D223" s="14">
        <f t="shared" si="7"/>
        <v>16</v>
      </c>
      <c r="E223" s="14" t="s">
        <v>1394</v>
      </c>
      <c r="F223" s="13" t="s">
        <v>695</v>
      </c>
      <c r="G223" s="73" t="s">
        <v>1197</v>
      </c>
    </row>
    <row r="224" spans="1:7" ht="24.95" customHeight="1">
      <c r="A224" s="72" t="str">
        <f t="array" ref="A224">LEFT(F224, MIN(FIND({0,1,2,3,4,5,6,7,8,9}, F224 &amp; "0123456789")) - 1)</f>
        <v>VW</v>
      </c>
      <c r="B224" s="14">
        <f t="shared" si="6"/>
        <v>104</v>
      </c>
      <c r="C224" s="14"/>
      <c r="D224" s="14">
        <f t="shared" si="7"/>
        <v>16</v>
      </c>
      <c r="E224" s="1" t="s">
        <v>1396</v>
      </c>
      <c r="F224" s="7" t="s">
        <v>1416</v>
      </c>
      <c r="G224" s="41" t="s">
        <v>80</v>
      </c>
    </row>
    <row r="225" spans="1:7" ht="24.95" customHeight="1">
      <c r="A225" s="72" t="str">
        <f t="array" ref="A225">LEFT(F225, MIN(FIND({0,1,2,3,4,5,6,7,8,9}, F225 &amp; "0123456789")) - 1)</f>
        <v>VW</v>
      </c>
      <c r="B225" s="14">
        <f t="shared" si="6"/>
        <v>108</v>
      </c>
      <c r="C225" s="14"/>
      <c r="D225" s="14">
        <f t="shared" si="7"/>
        <v>22</v>
      </c>
      <c r="E225" s="1" t="s">
        <v>1398</v>
      </c>
      <c r="F225" s="7" t="s">
        <v>1698</v>
      </c>
      <c r="G225" s="41" t="s">
        <v>1400</v>
      </c>
    </row>
    <row r="226" spans="1:7" ht="24.95" customHeight="1">
      <c r="A226" s="72" t="str">
        <f t="array" ref="A226">LEFT(F226, MIN(FIND({0,1,2,3,4,5,6,7,8,9}, F226 &amp; "0123456789")) - 1)</f>
        <v>VW</v>
      </c>
      <c r="B226" s="14">
        <f t="shared" si="6"/>
        <v>112</v>
      </c>
      <c r="C226" s="14"/>
      <c r="D226" s="14">
        <f t="shared" si="7"/>
        <v>22</v>
      </c>
      <c r="E226" s="1" t="s">
        <v>1401</v>
      </c>
      <c r="F226" s="7" t="s">
        <v>1699</v>
      </c>
      <c r="G226" s="41" t="s">
        <v>1403</v>
      </c>
    </row>
    <row r="227" spans="1:7" ht="24.95" customHeight="1">
      <c r="A227" s="72" t="str">
        <f t="array" ref="A227">LEFT(F227, MIN(FIND({0,1,2,3,4,5,6,7,8,9}, F227 &amp; "0123456789")) - 1)</f>
        <v>VW</v>
      </c>
      <c r="B227" s="14">
        <f t="shared" si="6"/>
        <v>116</v>
      </c>
      <c r="C227" s="14"/>
      <c r="D227" s="14">
        <f t="shared" si="7"/>
        <v>22</v>
      </c>
      <c r="E227" s="1" t="s">
        <v>1404</v>
      </c>
      <c r="F227" s="7" t="s">
        <v>1700</v>
      </c>
      <c r="G227" s="41" t="s">
        <v>1406</v>
      </c>
    </row>
    <row r="228" spans="1:7" ht="24.95" customHeight="1">
      <c r="A228" s="72" t="str">
        <f t="array" ref="A228">LEFT(F228, MIN(FIND({0,1,2,3,4,5,6,7,8,9}, F228 &amp; "0123456789")) - 1)</f>
        <v>VW</v>
      </c>
      <c r="B228" s="14">
        <f t="shared" si="6"/>
        <v>120</v>
      </c>
      <c r="C228" s="14"/>
      <c r="D228" s="14">
        <f t="shared" si="7"/>
        <v>22</v>
      </c>
      <c r="E228" s="1" t="s">
        <v>1407</v>
      </c>
      <c r="F228" s="7" t="s">
        <v>1701</v>
      </c>
      <c r="G228" s="41" t="s">
        <v>1409</v>
      </c>
    </row>
    <row r="229" spans="1:7" ht="24.95" customHeight="1">
      <c r="A229" s="72" t="str">
        <f t="array" ref="A229">LEFT(F229, MIN(FIND({0,1,2,3,4,5,6,7,8,9}, F229 &amp; "0123456789")) - 1)</f>
        <v>VW</v>
      </c>
      <c r="B229" s="14">
        <f t="shared" si="6"/>
        <v>124</v>
      </c>
      <c r="C229" s="14"/>
      <c r="D229" s="14">
        <f t="shared" si="7"/>
        <v>22</v>
      </c>
      <c r="E229" s="1" t="s">
        <v>1410</v>
      </c>
      <c r="F229" s="7" t="s">
        <v>1702</v>
      </c>
      <c r="G229" s="41" t="s">
        <v>1411</v>
      </c>
    </row>
    <row r="230" spans="1:7" ht="24.95" customHeight="1">
      <c r="A230" s="72" t="str">
        <f t="array" ref="A230">LEFT(F230, MIN(FIND({0,1,2,3,4,5,6,7,8,9}, F230 &amp; "0123456789")) - 1)</f>
        <v>VW</v>
      </c>
      <c r="B230" s="14">
        <f t="shared" si="6"/>
        <v>128</v>
      </c>
      <c r="C230" s="14"/>
      <c r="D230" s="14">
        <f t="shared" si="7"/>
        <v>22</v>
      </c>
      <c r="E230" s="1" t="s">
        <v>1412</v>
      </c>
      <c r="F230" s="7" t="s">
        <v>1703</v>
      </c>
      <c r="G230" s="41" t="s">
        <v>1414</v>
      </c>
    </row>
    <row r="231" spans="1:7" ht="24.95" customHeight="1">
      <c r="A231" s="72" t="str">
        <f t="array" ref="A231">LEFT(F231, MIN(FIND({0,1,2,3,4,5,6,7,8,9}, F231 &amp; "0123456789")) - 1)</f>
        <v>VW</v>
      </c>
      <c r="B231" s="14">
        <f t="shared" si="6"/>
        <v>132</v>
      </c>
      <c r="C231" s="14"/>
      <c r="D231" s="14">
        <f t="shared" si="7"/>
        <v>19</v>
      </c>
      <c r="E231" s="1" t="s">
        <v>1415</v>
      </c>
      <c r="F231" s="7" t="s">
        <v>1704</v>
      </c>
      <c r="G231" s="41" t="s">
        <v>1417</v>
      </c>
    </row>
    <row r="232" spans="1:7" ht="24.95" customHeight="1">
      <c r="A232" s="72" t="str">
        <f t="array" ref="A232">LEFT(F232, MIN(FIND({0,1,2,3,4,5,6,7,8,9}, F232 &amp; "0123456789")) - 1)</f>
        <v>VW</v>
      </c>
      <c r="B232" s="14">
        <f t="shared" si="6"/>
        <v>136</v>
      </c>
      <c r="C232" s="14"/>
      <c r="D232" s="14">
        <f t="shared" si="7"/>
        <v>21</v>
      </c>
      <c r="E232" s="1" t="s">
        <v>1418</v>
      </c>
      <c r="F232" s="7" t="s">
        <v>1705</v>
      </c>
      <c r="G232" s="41" t="s">
        <v>1420</v>
      </c>
    </row>
    <row r="233" spans="1:7" ht="24.95" customHeight="1">
      <c r="A233" s="72" t="str">
        <f t="array" ref="A233">LEFT(F233, MIN(FIND({0,1,2,3,4,5,6,7,8,9}, F233 &amp; "0123456789")) - 1)</f>
        <v>VW</v>
      </c>
      <c r="B233" s="14">
        <f t="shared" si="6"/>
        <v>138</v>
      </c>
      <c r="C233" s="14"/>
      <c r="D233" s="14">
        <f t="shared" si="7"/>
        <v>21</v>
      </c>
      <c r="E233" s="1" t="s">
        <v>1823</v>
      </c>
      <c r="F233" s="7" t="s">
        <v>1824</v>
      </c>
      <c r="G233" s="41" t="s">
        <v>1825</v>
      </c>
    </row>
    <row r="234" spans="1:7" ht="24.95" customHeight="1">
      <c r="A234" s="72" t="str">
        <f t="array" ref="A234">LEFT(F234, MIN(FIND({0,1,2,3,4,5,6,7,8,9}, F234 &amp; "0123456789")) - 1)</f>
        <v>VW</v>
      </c>
      <c r="B234" s="14">
        <f t="shared" si="6"/>
        <v>140</v>
      </c>
      <c r="C234" s="1"/>
      <c r="D234" s="14">
        <f t="shared" si="7"/>
        <v>13</v>
      </c>
      <c r="E234" s="78" t="s">
        <v>1826</v>
      </c>
      <c r="F234" s="7" t="s">
        <v>1827</v>
      </c>
      <c r="G234" s="77" t="s">
        <v>1828</v>
      </c>
    </row>
    <row r="235" spans="1:7" ht="14.25">
      <c r="A235" s="72" t="str">
        <f t="array" ref="A235">LEFT(F235, MIN(FIND({0,1,2,3,4,5,6,7,8,9}, F235 &amp; "0123456789")) - 1)</f>
        <v>VW</v>
      </c>
      <c r="B235" s="14">
        <f t="shared" si="6"/>
        <v>142</v>
      </c>
      <c r="C235" s="14"/>
      <c r="D235" s="14">
        <f t="shared" si="7"/>
        <v>14</v>
      </c>
      <c r="E235" s="14" t="s">
        <v>1829</v>
      </c>
      <c r="F235" s="14" t="s">
        <v>1830</v>
      </c>
      <c r="G235" s="79" t="s">
        <v>1831</v>
      </c>
    </row>
    <row r="236" spans="1:7" ht="24.95" customHeight="1">
      <c r="A236" s="72" t="str">
        <f t="array" ref="A236">LEFT(F236, MIN(FIND({0,1,2,3,4,5,6,7,8,9}, F236 &amp; "0123456789")) - 1)</f>
        <v>VW</v>
      </c>
      <c r="B236" s="14">
        <f t="shared" si="6"/>
        <v>144</v>
      </c>
      <c r="C236" s="14"/>
      <c r="D236" s="14">
        <f t="shared" si="7"/>
        <v>15</v>
      </c>
      <c r="E236" s="14" t="s">
        <v>1832</v>
      </c>
      <c r="F236" s="14" t="s">
        <v>1833</v>
      </c>
      <c r="G236" s="45" t="s">
        <v>1834</v>
      </c>
    </row>
    <row r="237" spans="1:7" ht="24.95" customHeight="1">
      <c r="A237" s="72" t="str">
        <f t="array" ref="A237">LEFT(F237, MIN(FIND({0,1,2,3,4,5,6,7,8,9}, F237 &amp; "0123456789")) - 1)</f>
        <v>VW</v>
      </c>
      <c r="B237" s="14">
        <f t="shared" si="6"/>
        <v>154</v>
      </c>
      <c r="C237" s="14"/>
      <c r="D237" s="14">
        <f t="shared" si="7"/>
        <v>23</v>
      </c>
      <c r="E237" s="1" t="s">
        <v>1835</v>
      </c>
      <c r="F237" s="1" t="s">
        <v>1836</v>
      </c>
      <c r="G237" s="26" t="s">
        <v>1837</v>
      </c>
    </row>
    <row r="238" spans="1:7" ht="24.95" customHeight="1">
      <c r="A238" s="72" t="str">
        <f t="array" ref="A238">LEFT(F238, MIN(FIND({0,1,2,3,4,5,6,7,8,9}, F238 &amp; "0123456789")) - 1)</f>
        <v>VW</v>
      </c>
      <c r="B238" s="14">
        <f t="shared" si="6"/>
        <v>156</v>
      </c>
      <c r="C238" s="14"/>
      <c r="D238" s="14">
        <f t="shared" si="7"/>
        <v>23</v>
      </c>
      <c r="E238" s="1" t="s">
        <v>1838</v>
      </c>
      <c r="F238" s="1" t="s">
        <v>1839</v>
      </c>
      <c r="G238" s="26" t="s">
        <v>1840</v>
      </c>
    </row>
    <row r="239" spans="1:7" ht="24.95" customHeight="1">
      <c r="A239" s="72" t="str">
        <f t="array" ref="A239">LEFT(F239, MIN(FIND({0,1,2,3,4,5,6,7,8,9}, F239 &amp; "0123456789")) - 1)</f>
        <v>VW</v>
      </c>
      <c r="B239" s="14">
        <f t="shared" si="6"/>
        <v>528</v>
      </c>
      <c r="C239" s="14"/>
      <c r="D239" s="14">
        <f t="shared" si="7"/>
        <v>16</v>
      </c>
      <c r="E239" s="1" t="s">
        <v>1422</v>
      </c>
      <c r="F239" s="1" t="s">
        <v>1425</v>
      </c>
      <c r="G239" s="26" t="s">
        <v>1009</v>
      </c>
    </row>
    <row r="240" spans="1:7" ht="24.95" customHeight="1">
      <c r="A240" s="72" t="str">
        <f t="array" ref="A240">LEFT(F240, MIN(FIND({0,1,2,3,4,5,6,7,8,9}, F240 &amp; "0123456789")) - 1)</f>
        <v>VW</v>
      </c>
      <c r="B240" s="14">
        <f t="shared" si="6"/>
        <v>532</v>
      </c>
      <c r="C240" s="14"/>
      <c r="D240" s="14">
        <f t="shared" si="7"/>
        <v>18</v>
      </c>
      <c r="E240" s="1" t="s">
        <v>1462</v>
      </c>
      <c r="F240" s="1" t="s">
        <v>1429</v>
      </c>
      <c r="G240" s="26" t="s">
        <v>1010</v>
      </c>
    </row>
    <row r="241" spans="1:7" ht="24.95" customHeight="1">
      <c r="A241" s="72" t="str">
        <f t="array" ref="A241">LEFT(F241, MIN(FIND({0,1,2,3,4,5,6,7,8,9}, F241 &amp; "0123456789")) - 1)</f>
        <v>VW</v>
      </c>
      <c r="B241" s="14">
        <f t="shared" si="6"/>
        <v>536</v>
      </c>
      <c r="C241" s="14"/>
      <c r="D241" s="14">
        <f t="shared" si="7"/>
        <v>20</v>
      </c>
      <c r="E241" s="1" t="s">
        <v>1426</v>
      </c>
      <c r="F241" s="1" t="s">
        <v>1433</v>
      </c>
      <c r="G241" s="26" t="s">
        <v>1199</v>
      </c>
    </row>
    <row r="242" spans="1:7" ht="24.95" customHeight="1">
      <c r="A242" s="72" t="str">
        <f t="array" ref="A242">LEFT(F242, MIN(FIND({0,1,2,3,4,5,6,7,8,9}, F242 &amp; "0123456789")) - 1)</f>
        <v>VW</v>
      </c>
      <c r="B242" s="14">
        <f t="shared" si="6"/>
        <v>540</v>
      </c>
      <c r="C242" s="14"/>
      <c r="D242" s="14">
        <f t="shared" si="7"/>
        <v>22</v>
      </c>
      <c r="E242" s="1" t="s">
        <v>1428</v>
      </c>
      <c r="F242" s="1" t="s">
        <v>1437</v>
      </c>
      <c r="G242" s="26" t="s">
        <v>1023</v>
      </c>
    </row>
    <row r="243" spans="1:7" ht="24.95" customHeight="1">
      <c r="A243" s="72" t="str">
        <f t="array" ref="A243">LEFT(F243, MIN(FIND({0,1,2,3,4,5,6,7,8,9}, F243 &amp; "0123456789")) - 1)</f>
        <v>VW</v>
      </c>
      <c r="B243" s="14">
        <f t="shared" si="6"/>
        <v>544</v>
      </c>
      <c r="C243" s="14"/>
      <c r="D243" s="14">
        <f t="shared" si="7"/>
        <v>22</v>
      </c>
      <c r="E243" s="1" t="s">
        <v>1430</v>
      </c>
      <c r="F243" s="1" t="s">
        <v>1441</v>
      </c>
      <c r="G243" s="26" t="s">
        <v>1024</v>
      </c>
    </row>
    <row r="244" spans="1:7" ht="24.95" customHeight="1">
      <c r="A244" s="72" t="str">
        <f t="array" ref="A244">LEFT(F244, MIN(FIND({0,1,2,3,4,5,6,7,8,9}, F244 &amp; "0123456789")) - 1)</f>
        <v>VW</v>
      </c>
      <c r="B244" s="14">
        <f t="shared" si="6"/>
        <v>548</v>
      </c>
      <c r="C244" s="14"/>
      <c r="D244" s="14">
        <f t="shared" si="7"/>
        <v>22</v>
      </c>
      <c r="E244" s="1" t="s">
        <v>1432</v>
      </c>
      <c r="F244" s="1" t="s">
        <v>1463</v>
      </c>
      <c r="G244" s="26" t="s">
        <v>1025</v>
      </c>
    </row>
    <row r="245" spans="1:7" ht="24.95" customHeight="1">
      <c r="A245" s="72" t="str">
        <f t="array" ref="A245">LEFT(F245, MIN(FIND({0,1,2,3,4,5,6,7,8,9}, F245 &amp; "0123456789")) - 1)</f>
        <v>VW</v>
      </c>
      <c r="B245" s="14">
        <f t="shared" si="6"/>
        <v>552</v>
      </c>
      <c r="C245" s="14"/>
      <c r="D245" s="14">
        <f t="shared" si="7"/>
        <v>22</v>
      </c>
      <c r="E245" s="1" t="s">
        <v>1434</v>
      </c>
      <c r="F245" s="1" t="s">
        <v>1464</v>
      </c>
      <c r="G245" s="26" t="s">
        <v>1026</v>
      </c>
    </row>
    <row r="246" spans="1:7" ht="24.95" customHeight="1">
      <c r="A246" s="72" t="str">
        <f t="array" ref="A246">LEFT(F246, MIN(FIND({0,1,2,3,4,5,6,7,8,9}, F246 &amp; "0123456789")) - 1)</f>
        <v>VW</v>
      </c>
      <c r="B246" s="14">
        <f t="shared" si="6"/>
        <v>556</v>
      </c>
      <c r="C246" s="14"/>
      <c r="D246" s="14">
        <f t="shared" si="7"/>
        <v>22</v>
      </c>
      <c r="E246" s="1" t="s">
        <v>1436</v>
      </c>
      <c r="F246" s="1" t="s">
        <v>1465</v>
      </c>
      <c r="G246" s="26" t="s">
        <v>1027</v>
      </c>
    </row>
    <row r="247" spans="1:7" ht="24.95" customHeight="1">
      <c r="A247" s="72" t="str">
        <f t="array" ref="A247">LEFT(F247, MIN(FIND({0,1,2,3,4,5,6,7,8,9}, F247 &amp; "0123456789")) - 1)</f>
        <v>VW</v>
      </c>
      <c r="B247" s="14">
        <f t="shared" si="6"/>
        <v>560</v>
      </c>
      <c r="C247" s="14"/>
      <c r="D247" s="14">
        <f t="shared" si="7"/>
        <v>22</v>
      </c>
      <c r="E247" s="1" t="s">
        <v>1438</v>
      </c>
      <c r="F247" s="1" t="s">
        <v>1466</v>
      </c>
      <c r="G247" s="26" t="s">
        <v>1028</v>
      </c>
    </row>
    <row r="248" spans="1:7" ht="24.95" customHeight="1">
      <c r="A248" s="72" t="str">
        <f t="array" ref="A248">LEFT(F248, MIN(FIND({0,1,2,3,4,5,6,7,8,9}, F248 &amp; "0123456789")) - 1)</f>
        <v>VW</v>
      </c>
      <c r="B248" s="14">
        <f t="shared" si="6"/>
        <v>564</v>
      </c>
      <c r="C248" s="14"/>
      <c r="D248" s="14">
        <f t="shared" si="7"/>
        <v>19</v>
      </c>
      <c r="E248" s="1" t="s">
        <v>1440</v>
      </c>
      <c r="F248" s="1" t="s">
        <v>1467</v>
      </c>
      <c r="G248" s="26" t="s">
        <v>694</v>
      </c>
    </row>
    <row r="249" spans="1:7" ht="24.95" customHeight="1">
      <c r="A249" s="72" t="str">
        <f t="array" ref="A249">LEFT(F249, MIN(FIND({0,1,2,3,4,5,6,7,8,9}, F249 &amp; "0123456789")) - 1)</f>
        <v>VW</v>
      </c>
      <c r="B249" s="14">
        <f t="shared" si="6"/>
        <v>568</v>
      </c>
      <c r="C249" s="14"/>
      <c r="D249" s="14">
        <f t="shared" si="7"/>
        <v>23</v>
      </c>
      <c r="E249" s="1" t="s">
        <v>1492</v>
      </c>
      <c r="F249" s="1" t="s">
        <v>1468</v>
      </c>
      <c r="G249" s="26" t="s">
        <v>1493</v>
      </c>
    </row>
    <row r="250" spans="1:7" ht="24.95" customHeight="1">
      <c r="A250" s="72" t="str">
        <f t="array" ref="A250">LEFT(F250, MIN(FIND({0,1,2,3,4,5,6,7,8,9}, F250 &amp; "0123456789")) - 1)</f>
        <v>VW</v>
      </c>
      <c r="B250" s="14">
        <f t="shared" si="6"/>
        <v>572</v>
      </c>
      <c r="C250" s="14"/>
      <c r="D250" s="14">
        <f t="shared" si="7"/>
        <v>23</v>
      </c>
      <c r="E250" s="1" t="s">
        <v>1513</v>
      </c>
      <c r="F250" s="1" t="s">
        <v>1494</v>
      </c>
      <c r="G250" s="26" t="s">
        <v>1495</v>
      </c>
    </row>
    <row r="251" spans="1:7" ht="24.95" customHeight="1">
      <c r="A251" s="72" t="str">
        <f t="array" ref="A251">LEFT(F251, MIN(FIND({0,1,2,3,4,5,6,7,8,9}, F251 &amp; "0123456789")) - 1)</f>
        <v>VW</v>
      </c>
      <c r="B251" s="14">
        <f t="shared" si="6"/>
        <v>576</v>
      </c>
      <c r="C251" s="14"/>
      <c r="D251" s="14">
        <f t="shared" si="7"/>
        <v>22</v>
      </c>
      <c r="E251" s="1" t="s">
        <v>1490</v>
      </c>
      <c r="F251" s="1" t="s">
        <v>1517</v>
      </c>
      <c r="G251" s="26" t="s">
        <v>1491</v>
      </c>
    </row>
    <row r="252" spans="1:7" ht="24.95" customHeight="1">
      <c r="A252" s="72" t="str">
        <f t="array" ref="A252">LEFT(F252, MIN(FIND({0,1,2,3,4,5,6,7,8,9}, F252 &amp; "0123456789")) - 1)</f>
        <v>VW</v>
      </c>
      <c r="B252" s="14">
        <f t="shared" si="6"/>
        <v>580</v>
      </c>
      <c r="C252" s="14"/>
      <c r="D252" s="14">
        <f t="shared" si="7"/>
        <v>22</v>
      </c>
      <c r="E252" s="1" t="s">
        <v>1526</v>
      </c>
      <c r="F252" s="1" t="s">
        <v>1527</v>
      </c>
      <c r="G252" s="26" t="s">
        <v>1528</v>
      </c>
    </row>
    <row r="253" spans="1:7" ht="24.95" customHeight="1">
      <c r="A253" s="72" t="str">
        <f t="array" ref="A253">LEFT(F253, MIN(FIND({0,1,2,3,4,5,6,7,8,9}, F253 &amp; "0123456789")) - 1)</f>
        <v>VW</v>
      </c>
      <c r="B253" s="14">
        <f t="shared" si="6"/>
        <v>584</v>
      </c>
      <c r="C253" s="14"/>
      <c r="D253" s="14">
        <f t="shared" si="7"/>
        <v>21</v>
      </c>
      <c r="E253" s="1" t="s">
        <v>1529</v>
      </c>
      <c r="F253" s="1" t="s">
        <v>1530</v>
      </c>
      <c r="G253" s="26" t="s">
        <v>1531</v>
      </c>
    </row>
    <row r="254" spans="1:7" ht="24.95" customHeight="1">
      <c r="A254" s="72" t="str">
        <f t="array" ref="A254">LEFT(F254, MIN(FIND({0,1,2,3,4,5,6,7,8,9}, F254 &amp; "0123456789")) - 1)</f>
        <v>VW</v>
      </c>
      <c r="B254" s="14">
        <f t="shared" si="6"/>
        <v>814</v>
      </c>
      <c r="C254" s="14"/>
      <c r="D254" s="14">
        <f t="shared" si="7"/>
        <v>12</v>
      </c>
      <c r="E254" s="1" t="s">
        <v>1841</v>
      </c>
      <c r="F254" s="1" t="s">
        <v>1710</v>
      </c>
      <c r="G254" s="86" t="s">
        <v>1846</v>
      </c>
    </row>
    <row r="255" spans="1:7" ht="24.95" customHeight="1">
      <c r="A255" s="72" t="str">
        <f t="array" ref="A255">LEFT(F255, MIN(FIND({0,1,2,3,4,5,6,7,8,9}, F255 &amp; "0123456789")) - 1)</f>
        <v>VW</v>
      </c>
      <c r="B255" s="14">
        <f t="shared" si="6"/>
        <v>816</v>
      </c>
      <c r="C255" s="14"/>
      <c r="D255" s="14">
        <f t="shared" si="7"/>
        <v>17</v>
      </c>
      <c r="E255" s="1" t="s">
        <v>1842</v>
      </c>
      <c r="F255" s="1" t="s">
        <v>1711</v>
      </c>
      <c r="G255" s="26" t="s">
        <v>1712</v>
      </c>
    </row>
    <row r="256" spans="1:7" ht="24.95" customHeight="1">
      <c r="A256" s="72" t="str">
        <f t="array" ref="A256">LEFT(F256, MIN(FIND({0,1,2,3,4,5,6,7,8,9}, F256 &amp; "0123456789")) - 1)</f>
        <v>VW</v>
      </c>
      <c r="B256" s="14">
        <f t="shared" si="6"/>
        <v>1898</v>
      </c>
      <c r="C256" s="14"/>
      <c r="D256" s="14">
        <f t="shared" si="7"/>
        <v>17</v>
      </c>
      <c r="E256" s="1" t="s">
        <v>1843</v>
      </c>
      <c r="F256" s="1" t="s">
        <v>1532</v>
      </c>
      <c r="G256" s="26" t="s">
        <v>1706</v>
      </c>
    </row>
    <row r="257" spans="1:7" ht="24.95" customHeight="1">
      <c r="A257" s="72" t="str">
        <f t="array" ref="A257">LEFT(F257, MIN(FIND({0,1,2,3,4,5,6,7,8,9}, F257 &amp; "0123456789")) - 1)</f>
        <v>VW</v>
      </c>
      <c r="B257" s="14">
        <f t="shared" si="6"/>
        <v>1918</v>
      </c>
      <c r="C257" s="14"/>
      <c r="D257" s="14">
        <f t="shared" si="7"/>
        <v>18</v>
      </c>
      <c r="E257" s="1" t="s">
        <v>1844</v>
      </c>
      <c r="F257" s="1" t="s">
        <v>1635</v>
      </c>
      <c r="G257" s="26" t="s">
        <v>1845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DDD2-0443-4862-87BD-5D53003BBCA5}">
  <dimension ref="A1:O40"/>
  <sheetViews>
    <sheetView topLeftCell="A13" workbookViewId="0">
      <selection activeCell="C4" sqref="C4"/>
    </sheetView>
  </sheetViews>
  <sheetFormatPr defaultRowHeight="24.95" customHeight="1"/>
  <cols>
    <col min="1" max="1" width="9.125" style="2" customWidth="1"/>
    <col min="2" max="6" width="9" style="2"/>
    <col min="7" max="7" width="88.625" style="2" customWidth="1"/>
    <col min="8" max="8" width="9" style="2"/>
    <col min="9" max="9" width="3.5" style="2" bestFit="1" customWidth="1"/>
    <col min="10" max="10" width="4.5" style="2" bestFit="1" customWidth="1"/>
    <col min="11" max="11" width="9" style="2"/>
    <col min="12" max="12" width="3.5" style="2" bestFit="1" customWidth="1"/>
    <col min="13" max="13" width="13.875" style="2" bestFit="1" customWidth="1"/>
    <col min="14" max="14" width="6.5" style="2" bestFit="1" customWidth="1"/>
    <col min="15" max="15" width="98.25" style="2" bestFit="1" customWidth="1"/>
    <col min="16" max="16384" width="9" style="2"/>
  </cols>
  <sheetData>
    <row r="1" spans="1:15" ht="24.95" customHeight="1">
      <c r="A1" s="83" t="s">
        <v>1849</v>
      </c>
      <c r="B1" s="83" t="s">
        <v>1847</v>
      </c>
      <c r="C1" s="83" t="s">
        <v>1848</v>
      </c>
      <c r="I1" s="72" t="str">
        <f t="array" ref="I1">LEFT(N1, MIN(FIND({0,1,2,3,4,5,6,7,8,9}, N1 &amp; "0123456789")) - 1)</f>
        <v>VW</v>
      </c>
      <c r="J1" s="90">
        <f>VALUE(RIGHT(N1,LEN(N1)-LEN(I1)))</f>
        <v>814</v>
      </c>
      <c r="K1" s="90"/>
      <c r="L1" s="90">
        <f>LEN(M1)</f>
        <v>12</v>
      </c>
      <c r="M1" s="89" t="s">
        <v>1841</v>
      </c>
      <c r="N1" s="89" t="s">
        <v>1710</v>
      </c>
      <c r="O1" s="91" t="s">
        <v>1846</v>
      </c>
    </row>
    <row r="2" spans="1:15" ht="24.95" customHeight="1">
      <c r="A2" s="1" t="s">
        <v>6</v>
      </c>
      <c r="B2" s="1">
        <v>20</v>
      </c>
      <c r="C2" s="1">
        <f t="shared" ref="C2:C40" si="0">B2-N(B1)</f>
        <v>20</v>
      </c>
    </row>
    <row r="3" spans="1:15" ht="24.95" customHeight="1">
      <c r="A3" s="1" t="s">
        <v>6</v>
      </c>
      <c r="B3" s="1">
        <v>24</v>
      </c>
      <c r="C3" s="1">
        <f t="shared" si="0"/>
        <v>4</v>
      </c>
    </row>
    <row r="4" spans="1:15" ht="24.95" customHeight="1">
      <c r="A4" s="1" t="s">
        <v>6</v>
      </c>
      <c r="B4" s="1">
        <v>32</v>
      </c>
      <c r="C4" s="1">
        <f t="shared" si="0"/>
        <v>8</v>
      </c>
    </row>
    <row r="5" spans="1:15" ht="24.95" customHeight="1">
      <c r="A5" s="1" t="s">
        <v>6</v>
      </c>
      <c r="B5" s="1">
        <v>36</v>
      </c>
      <c r="C5" s="1">
        <f t="shared" si="0"/>
        <v>4</v>
      </c>
    </row>
    <row r="6" spans="1:15" ht="24.95" customHeight="1">
      <c r="A6" s="1" t="s">
        <v>6</v>
      </c>
      <c r="B6" s="1">
        <v>40</v>
      </c>
      <c r="C6" s="1">
        <f t="shared" si="0"/>
        <v>4</v>
      </c>
    </row>
    <row r="7" spans="1:15" ht="24.95" customHeight="1">
      <c r="A7" s="1" t="s">
        <v>6</v>
      </c>
      <c r="B7" s="1">
        <v>44</v>
      </c>
      <c r="C7" s="1">
        <f t="shared" si="0"/>
        <v>4</v>
      </c>
    </row>
    <row r="8" spans="1:15" ht="24.95" customHeight="1">
      <c r="A8" s="1" t="s">
        <v>6</v>
      </c>
      <c r="B8" s="1">
        <v>48</v>
      </c>
      <c r="C8" s="1">
        <f t="shared" si="0"/>
        <v>4</v>
      </c>
    </row>
    <row r="9" spans="1:15" ht="24.95" customHeight="1">
      <c r="A9" s="1" t="s">
        <v>6</v>
      </c>
      <c r="B9" s="1">
        <v>52</v>
      </c>
      <c r="C9" s="1">
        <f t="shared" si="0"/>
        <v>4</v>
      </c>
    </row>
    <row r="10" spans="1:15" ht="24.95" customHeight="1">
      <c r="A10" s="1" t="s">
        <v>6</v>
      </c>
      <c r="B10" s="1">
        <v>56</v>
      </c>
      <c r="C10" s="1">
        <f t="shared" si="0"/>
        <v>4</v>
      </c>
    </row>
    <row r="11" spans="1:15" ht="24.95" customHeight="1">
      <c r="A11" s="1" t="s">
        <v>6</v>
      </c>
      <c r="B11" s="1">
        <v>60</v>
      </c>
      <c r="C11" s="1">
        <f t="shared" si="0"/>
        <v>4</v>
      </c>
    </row>
    <row r="12" spans="1:15" ht="24.95" customHeight="1">
      <c r="A12" s="1" t="s">
        <v>6</v>
      </c>
      <c r="B12" s="1">
        <v>64</v>
      </c>
      <c r="C12" s="1">
        <f t="shared" si="0"/>
        <v>4</v>
      </c>
    </row>
    <row r="13" spans="1:15" ht="24.95" customHeight="1">
      <c r="A13" s="1" t="s">
        <v>6</v>
      </c>
      <c r="B13" s="1">
        <v>68</v>
      </c>
      <c r="C13" s="1">
        <f t="shared" si="0"/>
        <v>4</v>
      </c>
    </row>
    <row r="14" spans="1:15" ht="24.95" customHeight="1">
      <c r="A14" s="1" t="s">
        <v>6</v>
      </c>
      <c r="B14" s="1">
        <v>72</v>
      </c>
      <c r="C14" s="1">
        <f t="shared" si="0"/>
        <v>4</v>
      </c>
    </row>
    <row r="15" spans="1:15" ht="24.95" customHeight="1">
      <c r="A15" s="1" t="s">
        <v>6</v>
      </c>
      <c r="B15" s="1">
        <v>76</v>
      </c>
      <c r="C15" s="1">
        <f t="shared" si="0"/>
        <v>4</v>
      </c>
    </row>
    <row r="16" spans="1:15" ht="24.95" customHeight="1">
      <c r="A16" s="1" t="s">
        <v>6</v>
      </c>
      <c r="B16" s="1">
        <v>80</v>
      </c>
      <c r="C16" s="1">
        <f t="shared" si="0"/>
        <v>4</v>
      </c>
    </row>
    <row r="17" spans="1:3" ht="24.95" customHeight="1">
      <c r="A17" s="1" t="s">
        <v>6</v>
      </c>
      <c r="B17" s="1">
        <v>84</v>
      </c>
      <c r="C17" s="1">
        <f t="shared" si="0"/>
        <v>4</v>
      </c>
    </row>
    <row r="18" spans="1:3" ht="24.95" customHeight="1">
      <c r="A18" s="1" t="s">
        <v>6</v>
      </c>
      <c r="B18" s="1">
        <v>88</v>
      </c>
      <c r="C18" s="1">
        <f t="shared" si="0"/>
        <v>4</v>
      </c>
    </row>
    <row r="19" spans="1:3" ht="24.95" customHeight="1">
      <c r="A19" s="1" t="s">
        <v>6</v>
      </c>
      <c r="B19" s="1">
        <v>92</v>
      </c>
      <c r="C19" s="1">
        <f t="shared" si="0"/>
        <v>4</v>
      </c>
    </row>
    <row r="20" spans="1:3" ht="24.95" customHeight="1">
      <c r="A20" s="1" t="s">
        <v>6</v>
      </c>
      <c r="B20" s="1">
        <v>96</v>
      </c>
      <c r="C20" s="1">
        <f t="shared" si="0"/>
        <v>4</v>
      </c>
    </row>
    <row r="21" spans="1:3" ht="24.95" customHeight="1">
      <c r="A21" s="1" t="s">
        <v>6</v>
      </c>
      <c r="B21" s="1">
        <v>100</v>
      </c>
      <c r="C21" s="1">
        <f t="shared" si="0"/>
        <v>4</v>
      </c>
    </row>
    <row r="22" spans="1:3" ht="24.95" customHeight="1">
      <c r="A22" s="1" t="s">
        <v>5</v>
      </c>
      <c r="B22" s="1">
        <v>100</v>
      </c>
      <c r="C22" s="1">
        <f t="shared" si="0"/>
        <v>0</v>
      </c>
    </row>
    <row r="23" spans="1:3" ht="24.95" customHeight="1">
      <c r="A23" s="1" t="s">
        <v>5</v>
      </c>
      <c r="B23" s="1">
        <v>104</v>
      </c>
      <c r="C23" s="1">
        <f t="shared" si="0"/>
        <v>4</v>
      </c>
    </row>
    <row r="24" spans="1:3" ht="24.95" customHeight="1">
      <c r="A24" s="1" t="s">
        <v>5</v>
      </c>
      <c r="B24" s="1">
        <v>108</v>
      </c>
      <c r="C24" s="1">
        <f t="shared" si="0"/>
        <v>4</v>
      </c>
    </row>
    <row r="25" spans="1:3" ht="24.95" customHeight="1">
      <c r="A25" s="1" t="s">
        <v>5</v>
      </c>
      <c r="B25" s="1">
        <v>112</v>
      </c>
      <c r="C25" s="1">
        <f t="shared" si="0"/>
        <v>4</v>
      </c>
    </row>
    <row r="26" spans="1:3" ht="24.95" customHeight="1">
      <c r="A26" s="1" t="s">
        <v>5</v>
      </c>
      <c r="B26" s="1">
        <v>116</v>
      </c>
      <c r="C26" s="1">
        <f t="shared" si="0"/>
        <v>4</v>
      </c>
    </row>
    <row r="27" spans="1:3" ht="24.95" customHeight="1">
      <c r="A27" s="1" t="s">
        <v>5</v>
      </c>
      <c r="B27" s="1">
        <v>120</v>
      </c>
      <c r="C27" s="1">
        <f t="shared" si="0"/>
        <v>4</v>
      </c>
    </row>
    <row r="28" spans="1:3" ht="24.95" customHeight="1">
      <c r="A28" s="1" t="s">
        <v>5</v>
      </c>
      <c r="B28" s="1">
        <v>124</v>
      </c>
      <c r="C28" s="1">
        <f t="shared" si="0"/>
        <v>4</v>
      </c>
    </row>
    <row r="29" spans="1:3" ht="24.95" customHeight="1">
      <c r="A29" s="1" t="s">
        <v>5</v>
      </c>
      <c r="B29" s="1">
        <v>128</v>
      </c>
      <c r="C29" s="1">
        <f t="shared" si="0"/>
        <v>4</v>
      </c>
    </row>
    <row r="30" spans="1:3" ht="24.95" customHeight="1">
      <c r="A30" s="1" t="s">
        <v>5</v>
      </c>
      <c r="B30" s="1">
        <v>132</v>
      </c>
      <c r="C30" s="1">
        <f t="shared" si="0"/>
        <v>4</v>
      </c>
    </row>
    <row r="31" spans="1:3" ht="24.95" customHeight="1">
      <c r="A31" s="1" t="s">
        <v>5</v>
      </c>
      <c r="B31" s="1">
        <v>136</v>
      </c>
      <c r="C31" s="1">
        <f t="shared" si="0"/>
        <v>4</v>
      </c>
    </row>
    <row r="32" spans="1:3" ht="24.95" customHeight="1">
      <c r="A32" s="1" t="s">
        <v>5</v>
      </c>
      <c r="B32" s="1">
        <v>138</v>
      </c>
      <c r="C32" s="1">
        <f t="shared" si="0"/>
        <v>2</v>
      </c>
    </row>
    <row r="33" spans="1:3" ht="24.95" customHeight="1">
      <c r="A33" s="1" t="s">
        <v>5</v>
      </c>
      <c r="B33" s="1">
        <v>140</v>
      </c>
      <c r="C33" s="1">
        <f t="shared" si="0"/>
        <v>2</v>
      </c>
    </row>
    <row r="34" spans="1:3" ht="24.95" customHeight="1">
      <c r="A34" s="1" t="s">
        <v>5</v>
      </c>
      <c r="B34" s="1">
        <v>142</v>
      </c>
      <c r="C34" s="1">
        <f t="shared" si="0"/>
        <v>2</v>
      </c>
    </row>
    <row r="35" spans="1:3" ht="24.95" customHeight="1">
      <c r="A35" s="1" t="s">
        <v>5</v>
      </c>
      <c r="B35" s="1">
        <v>144</v>
      </c>
      <c r="C35" s="1">
        <f t="shared" si="0"/>
        <v>2</v>
      </c>
    </row>
    <row r="36" spans="1:3" ht="24.95" customHeight="1">
      <c r="A36" s="1" t="s">
        <v>6</v>
      </c>
      <c r="B36" s="1">
        <v>146</v>
      </c>
      <c r="C36" s="1">
        <f t="shared" si="0"/>
        <v>2</v>
      </c>
    </row>
    <row r="37" spans="1:3" ht="24.95" customHeight="1">
      <c r="A37" s="1" t="s">
        <v>6</v>
      </c>
      <c r="B37" s="1">
        <v>150</v>
      </c>
      <c r="C37" s="1">
        <f t="shared" si="0"/>
        <v>4</v>
      </c>
    </row>
    <row r="38" spans="1:3" ht="24.95" customHeight="1">
      <c r="A38" s="1" t="s">
        <v>5</v>
      </c>
      <c r="B38" s="1">
        <v>154</v>
      </c>
      <c r="C38" s="1">
        <f t="shared" si="0"/>
        <v>4</v>
      </c>
    </row>
    <row r="39" spans="1:3" ht="24.95" customHeight="1">
      <c r="A39" s="1" t="s">
        <v>5</v>
      </c>
      <c r="B39" s="1">
        <v>156</v>
      </c>
      <c r="C39" s="1">
        <f t="shared" si="0"/>
        <v>2</v>
      </c>
    </row>
    <row r="40" spans="1:3" ht="24.95" customHeight="1">
      <c r="A40" s="1" t="s">
        <v>6</v>
      </c>
      <c r="B40" s="1">
        <v>300</v>
      </c>
      <c r="C40" s="1">
        <f t="shared" si="0"/>
        <v>144</v>
      </c>
    </row>
  </sheetData>
  <phoneticPr fontId="32" type="noConversion"/>
  <dataValidations count="1">
    <dataValidation type="custom" allowBlank="1" showInputMessage="1" showErrorMessage="1" sqref="N1" xr:uid="{5C5FBAD0-2874-451C-9172-D8D6CFD1D3F3}">
      <formula1>COUNTIF(F:F,N1)=1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42" customWidth="1"/>
    <col min="5" max="5" width="6.625" style="2" customWidth="1"/>
    <col min="6" max="6" width="18.375" style="2" customWidth="1"/>
    <col min="7" max="16384" width="9" style="2"/>
  </cols>
  <sheetData>
    <row r="1" spans="1:6" s="58" customFormat="1" ht="24.95" customHeight="1">
      <c r="A1" s="55" t="s">
        <v>1563</v>
      </c>
      <c r="B1" s="75" t="s">
        <v>1707</v>
      </c>
      <c r="C1" s="75" t="s">
        <v>1708</v>
      </c>
      <c r="D1" s="56" t="s">
        <v>1535</v>
      </c>
      <c r="E1" s="57" t="s">
        <v>1536</v>
      </c>
      <c r="F1" s="56" t="s">
        <v>1553</v>
      </c>
    </row>
    <row r="2" spans="1:6" ht="24.95" customHeight="1">
      <c r="A2" s="50" t="s">
        <v>1537</v>
      </c>
      <c r="B2" s="51" t="s">
        <v>1538</v>
      </c>
      <c r="C2" s="51" t="s">
        <v>1516</v>
      </c>
      <c r="D2" s="59" t="s">
        <v>1539</v>
      </c>
      <c r="E2" s="52" t="s">
        <v>1540</v>
      </c>
      <c r="F2" s="49" t="s">
        <v>1555</v>
      </c>
    </row>
    <row r="3" spans="1:6" ht="24.95" customHeight="1">
      <c r="A3" s="50" t="s">
        <v>1567</v>
      </c>
      <c r="B3" s="51" t="s">
        <v>1545</v>
      </c>
      <c r="C3" s="51" t="s">
        <v>558</v>
      </c>
      <c r="D3" s="59" t="s">
        <v>1045</v>
      </c>
      <c r="E3" s="52" t="s">
        <v>1540</v>
      </c>
      <c r="F3" s="49" t="s">
        <v>1555</v>
      </c>
    </row>
    <row r="4" spans="1:6" ht="24.95" customHeight="1">
      <c r="A4" s="50" t="s">
        <v>1568</v>
      </c>
      <c r="B4" s="51" t="s">
        <v>1546</v>
      </c>
      <c r="C4" s="51" t="s">
        <v>559</v>
      </c>
      <c r="D4" s="59" t="s">
        <v>1046</v>
      </c>
      <c r="E4" s="52" t="s">
        <v>1540</v>
      </c>
      <c r="F4" s="49" t="s">
        <v>1555</v>
      </c>
    </row>
    <row r="5" spans="1:6" ht="28.5">
      <c r="A5" s="50" t="s">
        <v>1569</v>
      </c>
      <c r="B5" s="51" t="s">
        <v>1547</v>
      </c>
      <c r="C5" s="51" t="s">
        <v>1552</v>
      </c>
      <c r="D5" s="59" t="s">
        <v>811</v>
      </c>
      <c r="E5" s="52" t="s">
        <v>1540</v>
      </c>
      <c r="F5" s="74" t="s">
        <v>1554</v>
      </c>
    </row>
    <row r="6" spans="1:6" ht="24.95" customHeight="1">
      <c r="A6" s="50" t="s">
        <v>1541</v>
      </c>
      <c r="B6" s="51" t="s">
        <v>1548</v>
      </c>
      <c r="C6" s="51" t="s">
        <v>562</v>
      </c>
      <c r="D6" s="59" t="s">
        <v>1047</v>
      </c>
      <c r="E6" s="52" t="s">
        <v>1540</v>
      </c>
      <c r="F6" s="46" t="s">
        <v>1556</v>
      </c>
    </row>
    <row r="7" spans="1:6" ht="24.95" customHeight="1">
      <c r="A7" s="50" t="s">
        <v>1542</v>
      </c>
      <c r="B7" s="51" t="s">
        <v>1549</v>
      </c>
      <c r="C7" s="51" t="s">
        <v>563</v>
      </c>
      <c r="D7" s="59" t="s">
        <v>815</v>
      </c>
      <c r="E7" s="52" t="s">
        <v>1540</v>
      </c>
      <c r="F7" s="46" t="s">
        <v>1557</v>
      </c>
    </row>
    <row r="8" spans="1:6" ht="24.95" customHeight="1">
      <c r="A8" s="50" t="s">
        <v>1543</v>
      </c>
      <c r="B8" s="51" t="s">
        <v>1550</v>
      </c>
      <c r="C8" s="51" t="s">
        <v>818</v>
      </c>
      <c r="D8" s="59" t="s">
        <v>817</v>
      </c>
      <c r="E8" s="52" t="s">
        <v>1540</v>
      </c>
      <c r="F8" s="46" t="s">
        <v>1558</v>
      </c>
    </row>
    <row r="9" spans="1:6" ht="28.5">
      <c r="A9" s="50" t="s">
        <v>1544</v>
      </c>
      <c r="B9" s="51" t="s">
        <v>1551</v>
      </c>
      <c r="C9" s="51" t="s">
        <v>564</v>
      </c>
      <c r="D9" s="59" t="s">
        <v>820</v>
      </c>
      <c r="E9" s="52" t="s">
        <v>1540</v>
      </c>
      <c r="F9" s="60" t="s">
        <v>1566</v>
      </c>
    </row>
    <row r="10" spans="1:6" ht="24.95" customHeight="1">
      <c r="A10" s="76" t="s">
        <v>1709</v>
      </c>
      <c r="B10" s="46" t="s">
        <v>13</v>
      </c>
      <c r="C10" s="46" t="s">
        <v>1562</v>
      </c>
      <c r="D10" s="48" t="s">
        <v>1048</v>
      </c>
      <c r="E10" s="54" t="s">
        <v>1561</v>
      </c>
      <c r="F10" s="46"/>
    </row>
    <row r="11" spans="1:6" ht="24.95" customHeight="1">
      <c r="A11" s="53" t="s">
        <v>1564</v>
      </c>
      <c r="B11" s="46" t="s">
        <v>26</v>
      </c>
      <c r="C11" s="46" t="s">
        <v>571</v>
      </c>
      <c r="D11" s="48" t="s">
        <v>1507</v>
      </c>
      <c r="E11" s="54" t="s">
        <v>1561</v>
      </c>
      <c r="F11" s="46"/>
    </row>
    <row r="12" spans="1:6" ht="24.95" customHeight="1">
      <c r="A12" s="53" t="s">
        <v>1565</v>
      </c>
      <c r="B12" s="46" t="s">
        <v>44</v>
      </c>
      <c r="C12" s="46" t="s">
        <v>572</v>
      </c>
      <c r="D12" s="48" t="s">
        <v>827</v>
      </c>
      <c r="E12" s="54" t="s">
        <v>1561</v>
      </c>
      <c r="F12" s="46"/>
    </row>
    <row r="13" spans="1:6" ht="24.95" customHeight="1">
      <c r="A13" s="53" t="s">
        <v>1559</v>
      </c>
      <c r="B13" s="46" t="s">
        <v>59</v>
      </c>
      <c r="C13" s="46" t="s">
        <v>573</v>
      </c>
      <c r="D13" s="48" t="s">
        <v>829</v>
      </c>
      <c r="E13" s="54" t="s">
        <v>1561</v>
      </c>
      <c r="F13" s="46"/>
    </row>
    <row r="14" spans="1:6" ht="24.95" customHeight="1">
      <c r="A14" s="53" t="s">
        <v>832</v>
      </c>
      <c r="B14" s="46" t="s">
        <v>69</v>
      </c>
      <c r="C14" s="46" t="s">
        <v>574</v>
      </c>
      <c r="D14" s="48" t="s">
        <v>1480</v>
      </c>
      <c r="E14" s="54" t="s">
        <v>1561</v>
      </c>
      <c r="F14" s="46"/>
    </row>
    <row r="15" spans="1:6" ht="24.95" customHeight="1">
      <c r="A15" s="53" t="s">
        <v>76</v>
      </c>
      <c r="B15" s="46" t="s">
        <v>78</v>
      </c>
      <c r="C15" s="46" t="s">
        <v>575</v>
      </c>
      <c r="D15" s="48" t="s">
        <v>1481</v>
      </c>
      <c r="E15" s="54" t="s">
        <v>1561</v>
      </c>
      <c r="F15" s="46"/>
    </row>
    <row r="16" spans="1:6" ht="24.95" customHeight="1">
      <c r="A16" s="53" t="s">
        <v>87</v>
      </c>
      <c r="B16" s="46" t="s">
        <v>89</v>
      </c>
      <c r="C16" s="46" t="s">
        <v>576</v>
      </c>
      <c r="D16" s="48" t="s">
        <v>1482</v>
      </c>
      <c r="E16" s="54" t="s">
        <v>1561</v>
      </c>
      <c r="F16" s="46"/>
    </row>
    <row r="17" spans="1:6" ht="24.95" customHeight="1">
      <c r="A17" s="50" t="s">
        <v>1560</v>
      </c>
      <c r="B17" s="51" t="s">
        <v>97</v>
      </c>
      <c r="C17" s="46" t="s">
        <v>577</v>
      </c>
      <c r="D17" s="59" t="s">
        <v>836</v>
      </c>
      <c r="E17" s="54" t="s">
        <v>1561</v>
      </c>
      <c r="F17" s="51"/>
    </row>
    <row r="18" spans="1:6" ht="24.95" customHeight="1">
      <c r="A18" s="53" t="s">
        <v>1573</v>
      </c>
      <c r="B18" s="46" t="s">
        <v>1451</v>
      </c>
      <c r="C18" s="46"/>
      <c r="D18" s="48" t="s">
        <v>1498</v>
      </c>
      <c r="E18" s="54" t="s">
        <v>1570</v>
      </c>
      <c r="F18" s="46" t="s">
        <v>1572</v>
      </c>
    </row>
    <row r="19" spans="1:6" ht="24.95" customHeight="1">
      <c r="A19" s="50" t="s">
        <v>1574</v>
      </c>
      <c r="B19" s="51" t="s">
        <v>1454</v>
      </c>
      <c r="C19" s="46"/>
      <c r="D19" s="59" t="s">
        <v>1499</v>
      </c>
      <c r="E19" s="52" t="s">
        <v>1570</v>
      </c>
      <c r="F19" s="46" t="s">
        <v>1577</v>
      </c>
    </row>
    <row r="20" spans="1:6" ht="24.95" customHeight="1">
      <c r="A20" s="53" t="s">
        <v>1575</v>
      </c>
      <c r="B20" s="46" t="s">
        <v>1445</v>
      </c>
      <c r="C20" s="46"/>
      <c r="D20" s="48" t="s">
        <v>1500</v>
      </c>
      <c r="E20" s="54" t="s">
        <v>1571</v>
      </c>
      <c r="F20" s="46" t="s">
        <v>1578</v>
      </c>
    </row>
    <row r="21" spans="1:6" ht="24.95" customHeight="1">
      <c r="A21" s="50" t="s">
        <v>1576</v>
      </c>
      <c r="B21" s="51" t="s">
        <v>1448</v>
      </c>
      <c r="C21" s="51"/>
      <c r="D21" s="59" t="s">
        <v>1501</v>
      </c>
      <c r="E21" s="52" t="s">
        <v>1571</v>
      </c>
      <c r="F21" s="46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N20" sqref="N20"/>
    </sheetView>
  </sheetViews>
  <sheetFormatPr defaultRowHeight="14.25"/>
  <cols>
    <col min="1" max="1" width="12.75" customWidth="1"/>
  </cols>
  <sheetData>
    <row r="1" spans="1:3">
      <c r="A1" s="3" t="s">
        <v>526</v>
      </c>
      <c r="B1" s="18" t="s">
        <v>698</v>
      </c>
      <c r="C1" s="22" t="s">
        <v>898</v>
      </c>
    </row>
    <row r="2" spans="1:3">
      <c r="A2" s="15" t="s">
        <v>533</v>
      </c>
      <c r="B2" s="18" t="s">
        <v>700</v>
      </c>
      <c r="C2" s="22" t="s">
        <v>899</v>
      </c>
    </row>
    <row r="3" spans="1:3">
      <c r="A3" s="15" t="s">
        <v>541</v>
      </c>
      <c r="B3" s="18" t="s">
        <v>702</v>
      </c>
      <c r="C3" s="22" t="s">
        <v>900</v>
      </c>
    </row>
    <row r="4" spans="1:3">
      <c r="A4" s="15" t="s">
        <v>540</v>
      </c>
      <c r="C4" s="22" t="s">
        <v>907</v>
      </c>
    </row>
    <row r="5" spans="1:3">
      <c r="A5" s="15" t="s">
        <v>539</v>
      </c>
      <c r="C5" s="22" t="s">
        <v>922</v>
      </c>
    </row>
    <row r="6" spans="1:3">
      <c r="A6" s="3" t="s">
        <v>537</v>
      </c>
      <c r="C6" s="22" t="s">
        <v>923</v>
      </c>
    </row>
    <row r="7" spans="1:3">
      <c r="A7" s="3" t="s">
        <v>538</v>
      </c>
    </row>
    <row r="8" spans="1:3">
      <c r="A8" s="3" t="s">
        <v>527</v>
      </c>
    </row>
    <row r="9" spans="1:3">
      <c r="A9" s="3" t="s">
        <v>528</v>
      </c>
    </row>
    <row r="10" spans="1:3">
      <c r="A10" s="3" t="s">
        <v>530</v>
      </c>
    </row>
    <row r="11" spans="1:3">
      <c r="A11" s="3" t="s">
        <v>532</v>
      </c>
    </row>
    <row r="12" spans="1:3">
      <c r="A12" s="3" t="s">
        <v>534</v>
      </c>
    </row>
    <row r="13" spans="1:3">
      <c r="A13" s="3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</vt:i4>
      </vt:variant>
    </vt:vector>
  </HeadingPairs>
  <TitlesOfParts>
    <vt:vector size="13" baseType="lpstr">
      <vt:lpstr>命名规范</vt:lpstr>
      <vt:lpstr>测试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地址检验</vt:lpstr>
      <vt:lpstr>IO分配表</vt:lpstr>
      <vt:lpstr>数据项</vt:lpstr>
      <vt:lpstr>测试!Print_Titles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2026-06-11T03:02:20Z</cp:lastPrinted>
  <dcterms:created xsi:type="dcterms:W3CDTF">2016-12-02T08:54:00Z</dcterms:created>
  <dcterms:modified xsi:type="dcterms:W3CDTF">2026-06-13T08:29:30Z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