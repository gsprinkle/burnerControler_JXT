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E:\codes\04-electricity\01-plc\江铜\burnerControler_JXT\burnerController_JXXY\"/>
    </mc:Choice>
  </mc:AlternateContent>
  <xr:revisionPtr revIDLastSave="0" documentId="13_ncr:1_{3A437D8A-B21A-4B77-990D-8D67E3455F36}" xr6:coauthVersionLast="47" xr6:coauthVersionMax="47" xr10:uidLastSave="{00000000-0000-0000-0000-000000000000}"/>
  <bookViews>
    <workbookView xWindow="-120" yWindow="-120" windowWidth="29040" windowHeight="15720" tabRatio="622" activeTab="7" xr2:uid="{2BCBB78C-AFBE-4F13-8C2E-200396EF23E4}"/>
  </bookViews>
  <sheets>
    <sheet name="端子1-原始" sheetId="1" r:id="rId1"/>
    <sheet name="数据项" sheetId="6" r:id="rId2"/>
    <sheet name="命名规范" sheetId="8" r:id="rId3"/>
    <sheet name="符号表" sheetId="13" r:id="rId4"/>
    <sheet name="地址校验" sheetId="16" r:id="rId5"/>
    <sheet name="IO分配表" sheetId="14" r:id="rId6"/>
    <sheet name="远程通讯" sheetId="5" r:id="rId7"/>
    <sheet name="江铜项目测试" sheetId="15" r:id="rId8"/>
  </sheets>
  <definedNames>
    <definedName name="_xlnm._FilterDatabase" localSheetId="0" hidden="1">'端子1-原始'!$C$1:$E$76</definedName>
    <definedName name="_xlnm._FilterDatabase" localSheetId="3" hidden="1">符号表!$E$1:$G$74</definedName>
    <definedName name="_xlnm.Print_Area" localSheetId="0">'端子1-原始'!#REF!</definedName>
    <definedName name="_xlnm.Print_Area" localSheetId="3">符号表!#REF!</definedName>
    <definedName name="_xlnm.Print_Area" localSheetId="7">江铜项目测试!$A$1:$F$21</definedName>
    <definedName name="_xlnm.Print_Titles" localSheetId="7">江铜项目测试!$1:$1</definedName>
    <definedName name="VW区" localSheetId="3">符号表!#REF!</definedName>
    <definedName name="VW区">'端子1-原始'!#REF!</definedName>
    <definedName name="V区" localSheetId="3">符号表!#REF!</definedName>
    <definedName name="V区">'端子1-原始'!#REF!</definedName>
  </definedNames>
  <calcPr calcId="181029"/>
</workbook>
</file>

<file path=xl/calcChain.xml><?xml version="1.0" encoding="utf-8"?>
<calcChain xmlns="http://schemas.openxmlformats.org/spreadsheetml/2006/main">
  <c r="A21" i="15" l="1"/>
  <c r="A19" i="15"/>
  <c r="A20" i="15"/>
  <c r="A13" i="15"/>
  <c r="A2" i="15"/>
  <c r="A3" i="15"/>
  <c r="A4" i="15"/>
  <c r="A5" i="15"/>
  <c r="A6" i="15"/>
  <c r="A7" i="15"/>
  <c r="A8" i="15"/>
  <c r="A9" i="15"/>
  <c r="A10" i="15"/>
  <c r="A11" i="15"/>
  <c r="A12" i="15"/>
  <c r="A14" i="15"/>
  <c r="A15" i="15"/>
  <c r="A16" i="15"/>
  <c r="A17" i="15"/>
  <c r="A18" i="15"/>
  <c r="L1" i="16"/>
  <c r="I1" i="16" a="1"/>
  <c r="I1" i="16" s="1"/>
  <c r="J1" i="16" s="1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2" i="16"/>
  <c r="A237" i="13" a="1"/>
  <c r="A237" i="13" s="1"/>
  <c r="B237" i="13" s="1"/>
  <c r="D237" i="13"/>
  <c r="A238" i="13" a="1"/>
  <c r="A238" i="13" s="1"/>
  <c r="B238" i="13" s="1"/>
  <c r="D238" i="13"/>
  <c r="A239" i="13" a="1"/>
  <c r="A239" i="13" s="1"/>
  <c r="B239" i="13" s="1"/>
  <c r="D239" i="13"/>
  <c r="A240" i="13" a="1"/>
  <c r="A240" i="13" s="1"/>
  <c r="B240" i="13" s="1"/>
  <c r="D240" i="13"/>
  <c r="A241" i="13" a="1"/>
  <c r="A241" i="13" s="1"/>
  <c r="B241" i="13" s="1"/>
  <c r="D241" i="13"/>
  <c r="A242" i="13" a="1"/>
  <c r="A242" i="13" s="1"/>
  <c r="B242" i="13" s="1"/>
  <c r="D242" i="13"/>
  <c r="A243" i="13" a="1"/>
  <c r="A243" i="13" s="1"/>
  <c r="B243" i="13" s="1"/>
  <c r="D243" i="13"/>
  <c r="A244" i="13" a="1"/>
  <c r="A244" i="13" s="1"/>
  <c r="B244" i="13" s="1"/>
  <c r="D244" i="13"/>
  <c r="A245" i="13" a="1"/>
  <c r="A245" i="13" s="1"/>
  <c r="B245" i="13" s="1"/>
  <c r="D245" i="13"/>
  <c r="A246" i="13" a="1"/>
  <c r="A246" i="13" s="1"/>
  <c r="B246" i="13" s="1"/>
  <c r="D246" i="13"/>
  <c r="A247" i="13" a="1"/>
  <c r="A247" i="13" s="1"/>
  <c r="B247" i="13" s="1"/>
  <c r="D247" i="13"/>
  <c r="A248" i="13" a="1"/>
  <c r="A248" i="13" s="1"/>
  <c r="B248" i="13" s="1"/>
  <c r="D248" i="13"/>
  <c r="A249" i="13" a="1"/>
  <c r="A249" i="13" s="1"/>
  <c r="B249" i="13" s="1"/>
  <c r="D249" i="13"/>
  <c r="A250" i="13" a="1"/>
  <c r="A250" i="13" s="1"/>
  <c r="B250" i="13" s="1"/>
  <c r="D250" i="13"/>
  <c r="A251" i="13" a="1"/>
  <c r="A251" i="13" s="1"/>
  <c r="B251" i="13" s="1"/>
  <c r="D251" i="13"/>
  <c r="A252" i="13" a="1"/>
  <c r="A252" i="13" s="1"/>
  <c r="B252" i="13" s="1"/>
  <c r="D252" i="13"/>
  <c r="A253" i="13" a="1"/>
  <c r="A253" i="13" s="1"/>
  <c r="B253" i="13" s="1"/>
  <c r="D253" i="13"/>
  <c r="A254" i="13" a="1"/>
  <c r="A254" i="13" s="1"/>
  <c r="B254" i="13" s="1"/>
  <c r="D254" i="13"/>
  <c r="A255" i="13" a="1"/>
  <c r="A255" i="13" s="1"/>
  <c r="B255" i="13" s="1"/>
  <c r="D255" i="13"/>
  <c r="A256" i="13" a="1"/>
  <c r="A256" i="13" s="1"/>
  <c r="B256" i="13" s="1"/>
  <c r="D256" i="13"/>
  <c r="A257" i="13" a="1"/>
  <c r="A257" i="13" s="1"/>
  <c r="B257" i="13" s="1"/>
  <c r="D257" i="13"/>
  <c r="A236" i="13" a="1"/>
  <c r="A236" i="13" s="1"/>
  <c r="B236" i="13" s="1"/>
  <c r="D236" i="13"/>
  <c r="A235" i="13" a="1"/>
  <c r="A235" i="13" s="1"/>
  <c r="B235" i="13" s="1"/>
  <c r="D235" i="13"/>
  <c r="A234" i="13" a="1"/>
  <c r="A234" i="13" s="1"/>
  <c r="B234" i="13" s="1"/>
  <c r="D234" i="13"/>
  <c r="A224" i="13" a="1"/>
  <c r="A224" i="13" s="1"/>
  <c r="B224" i="13" s="1"/>
  <c r="D224" i="13"/>
  <c r="A225" i="13" a="1"/>
  <c r="A225" i="13" s="1"/>
  <c r="B225" i="13" s="1"/>
  <c r="D225" i="13"/>
  <c r="A226" i="13" a="1"/>
  <c r="A226" i="13" s="1"/>
  <c r="B226" i="13" s="1"/>
  <c r="D226" i="13"/>
  <c r="A227" i="13" a="1"/>
  <c r="A227" i="13" s="1"/>
  <c r="B227" i="13" s="1"/>
  <c r="D227" i="13"/>
  <c r="A228" i="13" a="1"/>
  <c r="A228" i="13" s="1"/>
  <c r="B228" i="13" s="1"/>
  <c r="D228" i="13"/>
  <c r="A229" i="13" a="1"/>
  <c r="A229" i="13" s="1"/>
  <c r="B229" i="13" s="1"/>
  <c r="D229" i="13"/>
  <c r="A230" i="13" a="1"/>
  <c r="A230" i="13" s="1"/>
  <c r="B230" i="13" s="1"/>
  <c r="D230" i="13"/>
  <c r="A231" i="13" a="1"/>
  <c r="A231" i="13" s="1"/>
  <c r="B231" i="13" s="1"/>
  <c r="D231" i="13"/>
  <c r="A232" i="13" a="1"/>
  <c r="A232" i="13" s="1"/>
  <c r="B232" i="13" s="1"/>
  <c r="D232" i="13"/>
  <c r="A233" i="13" a="1"/>
  <c r="A233" i="13" s="1"/>
  <c r="B233" i="13" s="1"/>
  <c r="D233" i="13"/>
  <c r="A119" i="13" a="1"/>
  <c r="A119" i="13" s="1"/>
  <c r="B119" i="13" s="1"/>
  <c r="D119" i="13"/>
  <c r="A120" i="13" a="1"/>
  <c r="A120" i="13" s="1"/>
  <c r="B120" i="13" s="1"/>
  <c r="D120" i="13"/>
  <c r="A121" i="13" a="1"/>
  <c r="A121" i="13" s="1"/>
  <c r="B121" i="13" s="1"/>
  <c r="D121" i="13"/>
  <c r="A122" i="13" a="1"/>
  <c r="A122" i="13" s="1"/>
  <c r="B122" i="13" s="1"/>
  <c r="D122" i="13"/>
  <c r="A95" i="13" a="1"/>
  <c r="A95" i="13" s="1"/>
  <c r="B95" i="13" s="1"/>
  <c r="D95" i="13"/>
  <c r="A96" i="13" a="1"/>
  <c r="A96" i="13" s="1"/>
  <c r="B96" i="13" s="1"/>
  <c r="D96" i="13"/>
  <c r="A97" i="13" a="1"/>
  <c r="A97" i="13" s="1"/>
  <c r="B97" i="13" s="1"/>
  <c r="D97" i="13"/>
  <c r="A98" i="13" a="1"/>
  <c r="A98" i="13" s="1"/>
  <c r="B98" i="13" s="1"/>
  <c r="D98" i="13"/>
  <c r="A99" i="13" a="1"/>
  <c r="A99" i="13" s="1"/>
  <c r="B99" i="13" s="1"/>
  <c r="D99" i="13"/>
  <c r="A100" i="13" a="1"/>
  <c r="A100" i="13" s="1"/>
  <c r="B100" i="13" s="1"/>
  <c r="D100" i="13"/>
  <c r="A101" i="13" a="1"/>
  <c r="A101" i="13" s="1"/>
  <c r="B101" i="13" s="1"/>
  <c r="D101" i="13"/>
  <c r="A102" i="13" a="1"/>
  <c r="A102" i="13" s="1"/>
  <c r="B102" i="13" s="1"/>
  <c r="D102" i="13"/>
  <c r="A103" i="13" a="1"/>
  <c r="A103" i="13" s="1"/>
  <c r="B103" i="13" s="1"/>
  <c r="D103" i="13"/>
  <c r="A104" i="13" a="1"/>
  <c r="A104" i="13" s="1"/>
  <c r="B104" i="13" s="1"/>
  <c r="D104" i="13"/>
  <c r="A201" i="13" a="1"/>
  <c r="A201" i="13" s="1"/>
  <c r="B201" i="13" s="1"/>
  <c r="D201" i="13"/>
  <c r="A202" i="13" a="1"/>
  <c r="A202" i="13" s="1"/>
  <c r="B202" i="13" s="1"/>
  <c r="D202" i="13"/>
  <c r="D17" i="5"/>
  <c r="D16" i="5"/>
  <c r="A215" i="13" a="1"/>
  <c r="A215" i="13" s="1"/>
  <c r="B215" i="13" s="1"/>
  <c r="A216" i="13" a="1"/>
  <c r="A216" i="13" s="1"/>
  <c r="B216" i="13" s="1"/>
  <c r="A217" i="13" a="1"/>
  <c r="A217" i="13" s="1"/>
  <c r="B217" i="13" s="1"/>
  <c r="D215" i="13"/>
  <c r="D216" i="13"/>
  <c r="D217" i="13"/>
  <c r="D2" i="13"/>
  <c r="D3" i="13"/>
  <c r="D4" i="13"/>
  <c r="D5" i="13"/>
  <c r="D6" i="13"/>
  <c r="D7" i="13"/>
  <c r="D14" i="13"/>
  <c r="D8" i="13"/>
  <c r="D9" i="13"/>
  <c r="D10" i="13"/>
  <c r="D11" i="13"/>
  <c r="D12" i="13"/>
  <c r="D13" i="13"/>
  <c r="D15" i="13"/>
  <c r="D16" i="13"/>
  <c r="D17" i="13"/>
  <c r="D18" i="13"/>
  <c r="D25" i="13"/>
  <c r="D26" i="13"/>
  <c r="D27" i="13"/>
  <c r="D28" i="13"/>
  <c r="D29" i="13"/>
  <c r="D30" i="13"/>
  <c r="D31" i="13"/>
  <c r="D32" i="13"/>
  <c r="D33" i="13"/>
  <c r="D34" i="13"/>
  <c r="D35" i="13"/>
  <c r="D72" i="13"/>
  <c r="D36" i="13"/>
  <c r="D37" i="13"/>
  <c r="D38" i="13"/>
  <c r="D39" i="13"/>
  <c r="D40" i="13"/>
  <c r="D41" i="13"/>
  <c r="D42" i="13"/>
  <c r="D61" i="13"/>
  <c r="D62" i="13"/>
  <c r="D63" i="13"/>
  <c r="D64" i="13"/>
  <c r="D65" i="13"/>
  <c r="D66" i="13"/>
  <c r="D49" i="13"/>
  <c r="D50" i="13"/>
  <c r="D51" i="13"/>
  <c r="D52" i="13"/>
  <c r="D53" i="13"/>
  <c r="D54" i="13"/>
  <c r="D55" i="13"/>
  <c r="D56" i="13"/>
  <c r="D67" i="13"/>
  <c r="D68" i="13"/>
  <c r="D69" i="13"/>
  <c r="D70" i="13"/>
  <c r="D71" i="13"/>
  <c r="D43" i="13"/>
  <c r="D44" i="13"/>
  <c r="D45" i="13"/>
  <c r="D46" i="13"/>
  <c r="D47" i="13"/>
  <c r="D48" i="13"/>
  <c r="D57" i="13"/>
  <c r="D58" i="13"/>
  <c r="D59" i="13"/>
  <c r="D60" i="13"/>
  <c r="D73" i="13"/>
  <c r="D74" i="13"/>
  <c r="D75" i="13"/>
  <c r="D76" i="13"/>
  <c r="D77" i="13"/>
  <c r="D78" i="13"/>
  <c r="D19" i="13"/>
  <c r="D20" i="13"/>
  <c r="D21" i="13"/>
  <c r="D22" i="13"/>
  <c r="D23" i="13"/>
  <c r="D24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23" i="13"/>
  <c r="D174" i="13"/>
  <c r="D125" i="13"/>
  <c r="D137" i="13"/>
  <c r="D149" i="13"/>
  <c r="D161" i="13"/>
  <c r="D173" i="13"/>
  <c r="D177" i="13"/>
  <c r="D178" i="13"/>
  <c r="D179" i="13"/>
  <c r="D184" i="13"/>
  <c r="D186" i="13"/>
  <c r="D187" i="13"/>
  <c r="D124" i="13"/>
  <c r="D130" i="13"/>
  <c r="D141" i="13"/>
  <c r="D152" i="13"/>
  <c r="D163" i="13"/>
  <c r="D185" i="13"/>
  <c r="D188" i="13"/>
  <c r="D189" i="13"/>
  <c r="D190" i="13"/>
  <c r="D191" i="13"/>
  <c r="D192" i="13"/>
  <c r="D193" i="13"/>
  <c r="D194" i="13"/>
  <c r="D195" i="13"/>
  <c r="D196" i="13"/>
  <c r="D126" i="13"/>
  <c r="D127" i="13"/>
  <c r="D128" i="13"/>
  <c r="D129" i="13"/>
  <c r="D131" i="13"/>
  <c r="D132" i="13"/>
  <c r="D133" i="13"/>
  <c r="D134" i="13"/>
  <c r="D135" i="13"/>
  <c r="D136" i="13"/>
  <c r="D138" i="13"/>
  <c r="D139" i="13"/>
  <c r="D140" i="13"/>
  <c r="D142" i="13"/>
  <c r="D143" i="13"/>
  <c r="D144" i="13"/>
  <c r="D145" i="13"/>
  <c r="D146" i="13"/>
  <c r="D147" i="13"/>
  <c r="D148" i="13"/>
  <c r="D150" i="13"/>
  <c r="D151" i="13"/>
  <c r="D153" i="13"/>
  <c r="D154" i="13"/>
  <c r="D155" i="13"/>
  <c r="D156" i="13"/>
  <c r="D157" i="13"/>
  <c r="D158" i="13"/>
  <c r="D159" i="13"/>
  <c r="D160" i="13"/>
  <c r="D162" i="13"/>
  <c r="D164" i="13"/>
  <c r="D165" i="13"/>
  <c r="D166" i="13"/>
  <c r="D167" i="13"/>
  <c r="D168" i="13"/>
  <c r="D169" i="13"/>
  <c r="D170" i="13"/>
  <c r="D171" i="13"/>
  <c r="D172" i="13"/>
  <c r="D175" i="13"/>
  <c r="D176" i="13"/>
  <c r="D180" i="13"/>
  <c r="D181" i="13"/>
  <c r="D182" i="13"/>
  <c r="D183" i="13"/>
  <c r="D208" i="13"/>
  <c r="D210" i="13"/>
  <c r="D211" i="13"/>
  <c r="D212" i="13"/>
  <c r="D213" i="13"/>
  <c r="D214" i="13"/>
  <c r="D218" i="13"/>
  <c r="D219" i="13"/>
  <c r="D207" i="13"/>
  <c r="D220" i="13"/>
  <c r="D221" i="13"/>
  <c r="D222" i="13"/>
  <c r="D223" i="13"/>
  <c r="D197" i="13"/>
  <c r="D198" i="13"/>
  <c r="D199" i="13"/>
  <c r="D200" i="13"/>
  <c r="D203" i="13"/>
  <c r="D204" i="13"/>
  <c r="D209" i="13"/>
  <c r="D205" i="13"/>
  <c r="D206" i="13"/>
  <c r="A204" i="13" a="1"/>
  <c r="A204" i="13" s="1"/>
  <c r="B204" i="13" s="1"/>
  <c r="A209" i="13" a="1"/>
  <c r="A209" i="13" s="1"/>
  <c r="B209" i="13" s="1"/>
  <c r="A205" i="13" a="1"/>
  <c r="A205" i="13" s="1"/>
  <c r="B205" i="13" s="1"/>
  <c r="A206" i="13" a="1"/>
  <c r="A206" i="13" s="1"/>
  <c r="B206" i="13" s="1"/>
  <c r="A203" i="13" a="1"/>
  <c r="A203" i="13" s="1"/>
  <c r="B203" i="13" s="1"/>
  <c r="A200" i="13" a="1"/>
  <c r="A200" i="13" s="1"/>
  <c r="B200" i="13" s="1"/>
  <c r="A199" i="13" a="1"/>
  <c r="A199" i="13" s="1"/>
  <c r="B199" i="13" s="1"/>
  <c r="A198" i="13" a="1"/>
  <c r="A198" i="13" s="1"/>
  <c r="B198" i="13" s="1"/>
  <c r="A197" i="13" a="1"/>
  <c r="A197" i="13" s="1"/>
  <c r="B197" i="13" s="1"/>
  <c r="A223" i="13" a="1"/>
  <c r="A223" i="13" s="1"/>
  <c r="B223" i="13" s="1"/>
  <c r="A222" i="13" a="1"/>
  <c r="A222" i="13" s="1"/>
  <c r="B222" i="13" s="1"/>
  <c r="A221" i="13" a="1"/>
  <c r="A221" i="13" s="1"/>
  <c r="B221" i="13" s="1"/>
  <c r="A220" i="13" a="1"/>
  <c r="A220" i="13" s="1"/>
  <c r="B220" i="13" s="1"/>
  <c r="A207" i="13" a="1"/>
  <c r="A207" i="13" s="1"/>
  <c r="B207" i="13" s="1"/>
  <c r="A219" i="13" a="1"/>
  <c r="A219" i="13" s="1"/>
  <c r="B219" i="13" s="1"/>
  <c r="A218" i="13" a="1"/>
  <c r="A218" i="13" s="1"/>
  <c r="B218" i="13" s="1"/>
  <c r="A214" i="13" a="1"/>
  <c r="A214" i="13" s="1"/>
  <c r="B214" i="13" s="1"/>
  <c r="A213" i="13" a="1"/>
  <c r="A213" i="13" s="1"/>
  <c r="B213" i="13" s="1"/>
  <c r="A212" i="13" a="1"/>
  <c r="A212" i="13" s="1"/>
  <c r="B212" i="13" s="1"/>
  <c r="A211" i="13" a="1"/>
  <c r="A211" i="13" s="1"/>
  <c r="B211" i="13" s="1"/>
  <c r="A210" i="13" a="1"/>
  <c r="A210" i="13" s="1"/>
  <c r="B210" i="13" s="1"/>
  <c r="A208" i="13" a="1"/>
  <c r="A208" i="13" s="1"/>
  <c r="B208" i="13" s="1"/>
  <c r="A183" i="13" a="1"/>
  <c r="A183" i="13" s="1"/>
  <c r="B183" i="13" s="1"/>
  <c r="A182" i="13" a="1"/>
  <c r="A182" i="13" s="1"/>
  <c r="B182" i="13" s="1"/>
  <c r="A181" i="13" a="1"/>
  <c r="A181" i="13" s="1"/>
  <c r="B181" i="13" s="1"/>
  <c r="A180" i="13" a="1"/>
  <c r="A180" i="13" s="1"/>
  <c r="B180" i="13" s="1"/>
  <c r="A176" i="13" a="1"/>
  <c r="A176" i="13" s="1"/>
  <c r="B176" i="13" s="1"/>
  <c r="A175" i="13" a="1"/>
  <c r="A175" i="13" s="1"/>
  <c r="B175" i="13" s="1"/>
  <c r="A172" i="13" a="1"/>
  <c r="A172" i="13" s="1"/>
  <c r="B172" i="13" s="1"/>
  <c r="A171" i="13" a="1"/>
  <c r="A171" i="13" s="1"/>
  <c r="B171" i="13" s="1"/>
  <c r="A170" i="13" a="1"/>
  <c r="A170" i="13" s="1"/>
  <c r="B170" i="13" s="1"/>
  <c r="A169" i="13" a="1"/>
  <c r="A169" i="13" s="1"/>
  <c r="B169" i="13" s="1"/>
  <c r="A168" i="13" a="1"/>
  <c r="A168" i="13" s="1"/>
  <c r="B168" i="13" s="1"/>
  <c r="A167" i="13" a="1"/>
  <c r="A167" i="13" s="1"/>
  <c r="B167" i="13" s="1"/>
  <c r="A166" i="13" a="1"/>
  <c r="A166" i="13"/>
  <c r="B166" i="13" s="1"/>
  <c r="A165" i="13" a="1"/>
  <c r="A165" i="13" s="1"/>
  <c r="B165" i="13" s="1"/>
  <c r="A164" i="13" a="1"/>
  <c r="A164" i="13" s="1"/>
  <c r="B164" i="13" s="1"/>
  <c r="A162" i="13" a="1"/>
  <c r="A162" i="13" s="1"/>
  <c r="B162" i="13" s="1"/>
  <c r="A160" i="13" a="1"/>
  <c r="A160" i="13" s="1"/>
  <c r="B160" i="13" s="1"/>
  <c r="A159" i="13" a="1"/>
  <c r="A159" i="13" s="1"/>
  <c r="B159" i="13" s="1"/>
  <c r="A158" i="13" a="1"/>
  <c r="A158" i="13" s="1"/>
  <c r="B158" i="13" s="1"/>
  <c r="A157" i="13" a="1"/>
  <c r="A157" i="13" s="1"/>
  <c r="B157" i="13" s="1"/>
  <c r="A156" i="13" a="1"/>
  <c r="A156" i="13" s="1"/>
  <c r="B156" i="13" s="1"/>
  <c r="A155" i="13" a="1"/>
  <c r="A155" i="13" s="1"/>
  <c r="B155" i="13" s="1"/>
  <c r="A154" i="13" a="1"/>
  <c r="A154" i="13" s="1"/>
  <c r="B154" i="13" s="1"/>
  <c r="A153" i="13" a="1"/>
  <c r="A153" i="13" s="1"/>
  <c r="B153" i="13" s="1"/>
  <c r="A151" i="13" a="1"/>
  <c r="A151" i="13" s="1"/>
  <c r="B151" i="13" s="1"/>
  <c r="A150" i="13" a="1"/>
  <c r="A150" i="13" s="1"/>
  <c r="B150" i="13" s="1"/>
  <c r="A148" i="13" a="1"/>
  <c r="A148" i="13" s="1"/>
  <c r="B148" i="13" s="1"/>
  <c r="A147" i="13" a="1"/>
  <c r="A147" i="13" s="1"/>
  <c r="B147" i="13" s="1"/>
  <c r="A146" i="13" a="1"/>
  <c r="A146" i="13" s="1"/>
  <c r="B146" i="13" s="1"/>
  <c r="A145" i="13" a="1"/>
  <c r="A145" i="13" s="1"/>
  <c r="B145" i="13" s="1"/>
  <c r="A144" i="13" a="1"/>
  <c r="A144" i="13" s="1"/>
  <c r="B144" i="13" s="1"/>
  <c r="A143" i="13" a="1"/>
  <c r="A143" i="13" s="1"/>
  <c r="B143" i="13" s="1"/>
  <c r="A142" i="13" a="1"/>
  <c r="A142" i="13" s="1"/>
  <c r="B142" i="13" s="1"/>
  <c r="A140" i="13" a="1"/>
  <c r="A140" i="13" s="1"/>
  <c r="B140" i="13" s="1"/>
  <c r="A139" i="13" a="1"/>
  <c r="A139" i="13" s="1"/>
  <c r="B139" i="13" s="1"/>
  <c r="A138" i="13" a="1"/>
  <c r="A138" i="13" s="1"/>
  <c r="B138" i="13" s="1"/>
  <c r="A136" i="13" a="1"/>
  <c r="A136" i="13" s="1"/>
  <c r="B136" i="13" s="1"/>
  <c r="A135" i="13" a="1"/>
  <c r="A135" i="13" s="1"/>
  <c r="B135" i="13" s="1"/>
  <c r="A134" i="13" a="1"/>
  <c r="A134" i="13" s="1"/>
  <c r="B134" i="13" s="1"/>
  <c r="A133" i="13" a="1"/>
  <c r="A133" i="13" s="1"/>
  <c r="B133" i="13" s="1"/>
  <c r="A132" i="13" a="1"/>
  <c r="A132" i="13" s="1"/>
  <c r="B132" i="13" s="1"/>
  <c r="A131" i="13" a="1"/>
  <c r="A131" i="13" s="1"/>
  <c r="B131" i="13" s="1"/>
  <c r="A129" i="13" a="1"/>
  <c r="A129" i="13" s="1"/>
  <c r="B129" i="13" s="1"/>
  <c r="A128" i="13" a="1"/>
  <c r="A128" i="13" s="1"/>
  <c r="B128" i="13" s="1"/>
  <c r="A127" i="13" a="1"/>
  <c r="A127" i="13" s="1"/>
  <c r="B127" i="13" s="1"/>
  <c r="A126" i="13" a="1"/>
  <c r="A126" i="13" s="1"/>
  <c r="B126" i="13" s="1"/>
  <c r="A196" i="13" a="1"/>
  <c r="A196" i="13" s="1"/>
  <c r="B196" i="13" s="1"/>
  <c r="A195" i="13" a="1"/>
  <c r="A195" i="13" s="1"/>
  <c r="B195" i="13" s="1"/>
  <c r="A194" i="13" a="1"/>
  <c r="A194" i="13" s="1"/>
  <c r="B194" i="13" s="1"/>
  <c r="A193" i="13" a="1"/>
  <c r="A193" i="13" s="1"/>
  <c r="B193" i="13" s="1"/>
  <c r="A192" i="13" a="1"/>
  <c r="A192" i="13" s="1"/>
  <c r="B192" i="13" s="1"/>
  <c r="A191" i="13" a="1"/>
  <c r="A191" i="13" s="1"/>
  <c r="B191" i="13" s="1"/>
  <c r="A190" i="13" a="1"/>
  <c r="A190" i="13" s="1"/>
  <c r="B190" i="13" s="1"/>
  <c r="A189" i="13" a="1"/>
  <c r="A189" i="13" s="1"/>
  <c r="B189" i="13" s="1"/>
  <c r="A188" i="13" a="1"/>
  <c r="A188" i="13" s="1"/>
  <c r="B188" i="13" s="1"/>
  <c r="A185" i="13" a="1"/>
  <c r="A185" i="13" s="1"/>
  <c r="B185" i="13" s="1"/>
  <c r="A163" i="13" a="1"/>
  <c r="A163" i="13" s="1"/>
  <c r="B163" i="13" s="1"/>
  <c r="A152" i="13" a="1"/>
  <c r="A152" i="13" s="1"/>
  <c r="B152" i="13" s="1"/>
  <c r="A141" i="13" a="1"/>
  <c r="A141" i="13"/>
  <c r="B141" i="13" s="1"/>
  <c r="A130" i="13" a="1"/>
  <c r="A130" i="13" s="1"/>
  <c r="B130" i="13" s="1"/>
  <c r="A124" i="13" a="1"/>
  <c r="A124" i="13" s="1"/>
  <c r="B124" i="13" s="1"/>
  <c r="A187" i="13" a="1"/>
  <c r="A187" i="13" s="1"/>
  <c r="B187" i="13" s="1"/>
  <c r="A186" i="13" a="1"/>
  <c r="A186" i="13" s="1"/>
  <c r="B186" i="13" s="1"/>
  <c r="A184" i="13" a="1"/>
  <c r="A184" i="13" s="1"/>
  <c r="B184" i="13" s="1"/>
  <c r="A179" i="13" a="1"/>
  <c r="A179" i="13" s="1"/>
  <c r="B179" i="13" s="1"/>
  <c r="A178" i="13" a="1"/>
  <c r="A178" i="13" s="1"/>
  <c r="B178" i="13" s="1"/>
  <c r="A177" i="13" a="1"/>
  <c r="A177" i="13" s="1"/>
  <c r="B177" i="13" s="1"/>
  <c r="A173" i="13" a="1"/>
  <c r="A173" i="13" s="1"/>
  <c r="B173" i="13" s="1"/>
  <c r="A161" i="13" a="1"/>
  <c r="A161" i="13" s="1"/>
  <c r="B161" i="13" s="1"/>
  <c r="A149" i="13" a="1"/>
  <c r="A149" i="13" s="1"/>
  <c r="B149" i="13" s="1"/>
  <c r="A137" i="13" a="1"/>
  <c r="A137" i="13" s="1"/>
  <c r="B137" i="13" s="1"/>
  <c r="A125" i="13" a="1"/>
  <c r="A125" i="13"/>
  <c r="B125" i="13" s="1"/>
  <c r="A174" i="13" a="1"/>
  <c r="A174" i="13" s="1"/>
  <c r="B174" i="13" s="1"/>
  <c r="A123" i="13" a="1"/>
  <c r="A123" i="13" s="1"/>
  <c r="B123" i="13" s="1"/>
  <c r="A118" i="13" a="1"/>
  <c r="A118" i="13" s="1"/>
  <c r="B118" i="13" s="1"/>
  <c r="A117" i="13" a="1"/>
  <c r="A117" i="13" s="1"/>
  <c r="B117" i="13" s="1"/>
  <c r="A116" i="13" a="1"/>
  <c r="A116" i="13" s="1"/>
  <c r="B116" i="13" s="1"/>
  <c r="A115" i="13" a="1"/>
  <c r="A115" i="13" s="1"/>
  <c r="B115" i="13" s="1"/>
  <c r="A114" i="13" a="1"/>
  <c r="A114" i="13" s="1"/>
  <c r="B114" i="13" s="1"/>
  <c r="A113" i="13" a="1"/>
  <c r="A113" i="13" s="1"/>
  <c r="B113" i="13" s="1"/>
  <c r="A112" i="13" a="1"/>
  <c r="A112" i="13" s="1"/>
  <c r="B112" i="13" s="1"/>
  <c r="A111" i="13" a="1"/>
  <c r="A111" i="13" s="1"/>
  <c r="B111" i="13" s="1"/>
  <c r="A110" i="13" a="1"/>
  <c r="A110" i="13" s="1"/>
  <c r="B110" i="13" s="1"/>
  <c r="A109" i="13" a="1"/>
  <c r="A109" i="13" s="1"/>
  <c r="B109" i="13" s="1"/>
  <c r="A108" i="13" a="1"/>
  <c r="A108" i="13" s="1"/>
  <c r="B108" i="13" s="1"/>
  <c r="A107" i="13" a="1"/>
  <c r="A107" i="13" s="1"/>
  <c r="B107" i="13" s="1"/>
  <c r="A106" i="13" a="1"/>
  <c r="A106" i="13" s="1"/>
  <c r="B106" i="13" s="1"/>
  <c r="A105" i="13" a="1"/>
  <c r="A105" i="13" s="1"/>
  <c r="B105" i="13" s="1"/>
  <c r="A94" i="13" a="1"/>
  <c r="A94" i="13" s="1"/>
  <c r="B94" i="13" s="1"/>
  <c r="A93" i="13" a="1"/>
  <c r="A93" i="13" s="1"/>
  <c r="B93" i="13" s="1"/>
  <c r="A92" i="13" a="1"/>
  <c r="A92" i="13"/>
  <c r="B92" i="13" s="1"/>
  <c r="A91" i="13" a="1"/>
  <c r="A91" i="13" s="1"/>
  <c r="B91" i="13" s="1"/>
  <c r="A90" i="13" a="1"/>
  <c r="A90" i="13" s="1"/>
  <c r="B90" i="13" s="1"/>
  <c r="A89" i="13" a="1"/>
  <c r="A89" i="13" s="1"/>
  <c r="B89" i="13" s="1"/>
  <c r="A88" i="13" a="1"/>
  <c r="A88" i="13" s="1"/>
  <c r="B88" i="13" s="1"/>
  <c r="A87" i="13" a="1"/>
  <c r="A87" i="13" s="1"/>
  <c r="B87" i="13" s="1"/>
  <c r="A86" i="13" a="1"/>
  <c r="A86" i="13" s="1"/>
  <c r="B86" i="13" s="1"/>
  <c r="A85" i="13" a="1"/>
  <c r="A85" i="13" s="1"/>
  <c r="B85" i="13" s="1"/>
  <c r="A84" i="13" a="1"/>
  <c r="A84" i="13" s="1"/>
  <c r="B84" i="13" s="1"/>
  <c r="A83" i="13" a="1"/>
  <c r="A83" i="13" s="1"/>
  <c r="B83" i="13" s="1"/>
  <c r="A82" i="13" a="1"/>
  <c r="A82" i="13" s="1"/>
  <c r="B82" i="13" s="1"/>
  <c r="A81" i="13" a="1"/>
  <c r="A81" i="13" s="1"/>
  <c r="B81" i="13" s="1"/>
  <c r="A80" i="13" a="1"/>
  <c r="A80" i="13" s="1"/>
  <c r="B80" i="13" s="1"/>
  <c r="A79" i="13" a="1"/>
  <c r="A79" i="13" s="1"/>
  <c r="B79" i="13" s="1"/>
  <c r="A24" i="13" a="1"/>
  <c r="A24" i="13" s="1"/>
  <c r="B24" i="13" s="1"/>
  <c r="A23" i="13" a="1"/>
  <c r="A23" i="13" s="1"/>
  <c r="B23" i="13" s="1"/>
  <c r="A22" i="13" a="1"/>
  <c r="A22" i="13" s="1"/>
  <c r="B22" i="13" s="1"/>
  <c r="A21" i="13" a="1"/>
  <c r="A21" i="13" s="1"/>
  <c r="B21" i="13" s="1"/>
  <c r="A20" i="13" a="1"/>
  <c r="A20" i="13" s="1"/>
  <c r="B20" i="13" s="1"/>
  <c r="A19" i="13" a="1"/>
  <c r="A19" i="13" s="1"/>
  <c r="B19" i="13" s="1"/>
  <c r="A78" i="13" a="1"/>
  <c r="A78" i="13" s="1"/>
  <c r="B78" i="13" s="1"/>
  <c r="A77" i="13" a="1"/>
  <c r="A77" i="13" s="1"/>
  <c r="B77" i="13" s="1"/>
  <c r="A76" i="13" a="1"/>
  <c r="A76" i="13" s="1"/>
  <c r="B76" i="13" s="1"/>
  <c r="A75" i="13" a="1"/>
  <c r="A75" i="13" s="1"/>
  <c r="B75" i="13" s="1"/>
  <c r="A74" i="13" a="1"/>
  <c r="A74" i="13" s="1"/>
  <c r="B74" i="13" s="1"/>
  <c r="A73" i="13" a="1"/>
  <c r="A73" i="13" s="1"/>
  <c r="B73" i="13" s="1"/>
  <c r="A60" i="13" a="1"/>
  <c r="A60" i="13" s="1"/>
  <c r="B60" i="13" s="1"/>
  <c r="A59" i="13" a="1"/>
  <c r="A59" i="13" s="1"/>
  <c r="B59" i="13" s="1"/>
  <c r="A58" i="13" a="1"/>
  <c r="A58" i="13" s="1"/>
  <c r="B58" i="13" s="1"/>
  <c r="A57" i="13" a="1"/>
  <c r="A57" i="13" s="1"/>
  <c r="B57" i="13" s="1"/>
  <c r="A48" i="13" a="1"/>
  <c r="A48" i="13" s="1"/>
  <c r="B48" i="13" s="1"/>
  <c r="A47" i="13" a="1"/>
  <c r="A47" i="13"/>
  <c r="B47" i="13" s="1"/>
  <c r="A46" i="13" a="1"/>
  <c r="A46" i="13" s="1"/>
  <c r="B46" i="13" s="1"/>
  <c r="A45" i="13" a="1"/>
  <c r="A45" i="13" s="1"/>
  <c r="B45" i="13" s="1"/>
  <c r="A44" i="13" a="1"/>
  <c r="A44" i="13" s="1"/>
  <c r="B44" i="13" s="1"/>
  <c r="A43" i="13" a="1"/>
  <c r="A43" i="13" s="1"/>
  <c r="B43" i="13" s="1"/>
  <c r="A71" i="13" a="1"/>
  <c r="A71" i="13" s="1"/>
  <c r="B71" i="13" s="1"/>
  <c r="A70" i="13" a="1"/>
  <c r="A70" i="13" s="1"/>
  <c r="B70" i="13" s="1"/>
  <c r="A69" i="13" a="1"/>
  <c r="A69" i="13" s="1"/>
  <c r="B69" i="13" s="1"/>
  <c r="A68" i="13" a="1"/>
  <c r="A68" i="13" s="1"/>
  <c r="B68" i="13" s="1"/>
  <c r="A67" i="13" a="1"/>
  <c r="A67" i="13" s="1"/>
  <c r="B67" i="13" s="1"/>
  <c r="A56" i="13" a="1"/>
  <c r="A56" i="13" s="1"/>
  <c r="B56" i="13" s="1"/>
  <c r="A55" i="13" a="1"/>
  <c r="A55" i="13"/>
  <c r="B55" i="13" s="1"/>
  <c r="A54" i="13" a="1"/>
  <c r="A54" i="13" s="1"/>
  <c r="B54" i="13" s="1"/>
  <c r="A53" i="13" a="1"/>
  <c r="A53" i="13" s="1"/>
  <c r="B53" i="13" s="1"/>
  <c r="A52" i="13" a="1"/>
  <c r="A52" i="13" s="1"/>
  <c r="B52" i="13" s="1"/>
  <c r="A51" i="13" a="1"/>
  <c r="A51" i="13" s="1"/>
  <c r="B51" i="13" s="1"/>
  <c r="A50" i="13" a="1"/>
  <c r="A50" i="13" s="1"/>
  <c r="B50" i="13" s="1"/>
  <c r="A49" i="13" a="1"/>
  <c r="A49" i="13" s="1"/>
  <c r="B49" i="13" s="1"/>
  <c r="A66" i="13" a="1"/>
  <c r="A66" i="13" s="1"/>
  <c r="B66" i="13" s="1"/>
  <c r="A65" i="13" a="1"/>
  <c r="A65" i="13" s="1"/>
  <c r="B65" i="13" s="1"/>
  <c r="A64" i="13" a="1"/>
  <c r="A64" i="13" s="1"/>
  <c r="B64" i="13" s="1"/>
  <c r="A63" i="13" a="1"/>
  <c r="A63" i="13" s="1"/>
  <c r="B63" i="13" s="1"/>
  <c r="A62" i="13" a="1"/>
  <c r="A62" i="13" s="1"/>
  <c r="B62" i="13" s="1"/>
  <c r="A61" i="13" a="1"/>
  <c r="A61" i="13" s="1"/>
  <c r="B61" i="13" s="1"/>
  <c r="A42" i="13" a="1"/>
  <c r="A42" i="13" s="1"/>
  <c r="B42" i="13" s="1"/>
  <c r="A41" i="13" a="1"/>
  <c r="A41" i="13" s="1"/>
  <c r="B41" i="13" s="1"/>
  <c r="A40" i="13" a="1"/>
  <c r="A40" i="13"/>
  <c r="B40" i="13" s="1"/>
  <c r="A39" i="13" a="1"/>
  <c r="A39" i="13" s="1"/>
  <c r="B39" i="13" s="1"/>
  <c r="A38" i="13" a="1"/>
  <c r="A38" i="13" s="1"/>
  <c r="B38" i="13" s="1"/>
  <c r="A37" i="13" a="1"/>
  <c r="A37" i="13" s="1"/>
  <c r="B37" i="13" s="1"/>
  <c r="A36" i="13" a="1"/>
  <c r="A36" i="13" s="1"/>
  <c r="B36" i="13" s="1"/>
  <c r="A72" i="13" a="1"/>
  <c r="A72" i="13" s="1"/>
  <c r="B72" i="13" s="1"/>
  <c r="A35" i="13" a="1"/>
  <c r="A35" i="13" s="1"/>
  <c r="B35" i="13" s="1"/>
  <c r="A34" i="13" a="1"/>
  <c r="A34" i="13" s="1"/>
  <c r="B34" i="13" s="1"/>
  <c r="A33" i="13" a="1"/>
  <c r="A33" i="13" s="1"/>
  <c r="B33" i="13" s="1"/>
  <c r="A32" i="13" a="1"/>
  <c r="A32" i="13" s="1"/>
  <c r="B32" i="13" s="1"/>
  <c r="A31" i="13" a="1"/>
  <c r="A31" i="13" s="1"/>
  <c r="B31" i="13" s="1"/>
  <c r="A30" i="13" a="1"/>
  <c r="A30" i="13" s="1"/>
  <c r="B30" i="13" s="1"/>
  <c r="A29" i="13" a="1"/>
  <c r="A29" i="13" s="1"/>
  <c r="B29" i="13" s="1"/>
  <c r="A28" i="13" a="1"/>
  <c r="A28" i="13" s="1"/>
  <c r="B28" i="13" s="1"/>
  <c r="A27" i="13" a="1"/>
  <c r="A27" i="13" s="1"/>
  <c r="B27" i="13" s="1"/>
  <c r="A26" i="13" a="1"/>
  <c r="A26" i="13" s="1"/>
  <c r="B26" i="13" s="1"/>
  <c r="A25" i="13" a="1"/>
  <c r="A25" i="13" s="1"/>
  <c r="B25" i="13" s="1"/>
  <c r="A18" i="13" a="1"/>
  <c r="A18" i="13" s="1"/>
  <c r="B18" i="13" s="1"/>
  <c r="A17" i="13" a="1"/>
  <c r="A17" i="13" s="1"/>
  <c r="B17" i="13" s="1"/>
  <c r="A16" i="13" a="1"/>
  <c r="A16" i="13" s="1"/>
  <c r="B16" i="13" s="1"/>
  <c r="A15" i="13" a="1"/>
  <c r="A15" i="13" s="1"/>
  <c r="B15" i="13" s="1"/>
  <c r="A13" i="13" a="1"/>
  <c r="A13" i="13" s="1"/>
  <c r="B13" i="13" s="1"/>
  <c r="A12" i="13" a="1"/>
  <c r="A12" i="13" s="1"/>
  <c r="B12" i="13" s="1"/>
  <c r="A11" i="13" a="1"/>
  <c r="A11" i="13" s="1"/>
  <c r="B11" i="13" s="1"/>
  <c r="A10" i="13" a="1"/>
  <c r="A10" i="13" s="1"/>
  <c r="B10" i="13" s="1"/>
  <c r="A9" i="13" a="1"/>
  <c r="A9" i="13"/>
  <c r="B9" i="13" s="1"/>
  <c r="A8" i="13" a="1"/>
  <c r="A8" i="13" s="1"/>
  <c r="B8" i="13" s="1"/>
  <c r="A14" i="13" a="1"/>
  <c r="A14" i="13" s="1"/>
  <c r="B14" i="13" s="1"/>
  <c r="A7" i="13" a="1"/>
  <c r="A7" i="13"/>
  <c r="B7" i="13" s="1"/>
  <c r="A6" i="13" a="1"/>
  <c r="A6" i="13"/>
  <c r="B6" i="13" s="1"/>
  <c r="A5" i="13" a="1"/>
  <c r="A5" i="13"/>
  <c r="B5" i="13" s="1"/>
  <c r="A4" i="13" a="1"/>
  <c r="A4" i="13"/>
  <c r="B4" i="13" s="1"/>
  <c r="A3" i="13" a="1"/>
  <c r="A3" i="13"/>
  <c r="B3" i="13" s="1"/>
  <c r="A2" i="13" a="1"/>
  <c r="A2" i="13"/>
  <c r="B2" i="13" s="1"/>
  <c r="B245" i="1"/>
  <c r="B243" i="1"/>
  <c r="B203" i="1"/>
  <c r="B229" i="1"/>
  <c r="B230" i="1"/>
  <c r="B231" i="1"/>
  <c r="B232" i="1"/>
  <c r="B233" i="1"/>
  <c r="B234" i="1"/>
  <c r="B235" i="1"/>
  <c r="B237" i="1"/>
  <c r="B239" i="1"/>
  <c r="B241" i="1"/>
  <c r="B9" i="1"/>
  <c r="B13" i="1"/>
  <c r="B17" i="1"/>
  <c r="B21" i="1"/>
  <c r="B25" i="1"/>
  <c r="B29" i="1"/>
  <c r="B33" i="1"/>
  <c r="B40" i="1"/>
  <c r="B43" i="1"/>
  <c r="B46" i="1"/>
  <c r="B48" i="1"/>
  <c r="B50" i="1"/>
  <c r="B52" i="1"/>
  <c r="B54" i="1"/>
  <c r="B56" i="1"/>
  <c r="B60" i="1"/>
  <c r="B62" i="1"/>
  <c r="B64" i="1"/>
  <c r="B66" i="1"/>
  <c r="B68" i="1"/>
  <c r="B70" i="1"/>
  <c r="B72" i="1"/>
  <c r="B74" i="1"/>
  <c r="B77" i="1"/>
  <c r="B79" i="1"/>
  <c r="B81" i="1"/>
  <c r="B82" i="1"/>
  <c r="B83" i="1"/>
  <c r="B84" i="1"/>
  <c r="B85" i="1"/>
  <c r="B86" i="1"/>
  <c r="B88" i="1"/>
  <c r="B89" i="1"/>
  <c r="B90" i="1"/>
  <c r="B91" i="1"/>
  <c r="B92" i="1"/>
  <c r="B93" i="1"/>
  <c r="B94" i="1"/>
  <c r="B95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86" i="1"/>
  <c r="B195" i="1"/>
  <c r="B7" i="1"/>
  <c r="B11" i="1"/>
  <c r="B15" i="1"/>
  <c r="B19" i="1"/>
  <c r="B23" i="1"/>
  <c r="B27" i="1"/>
  <c r="B31" i="1"/>
  <c r="B35" i="1"/>
  <c r="B41" i="1"/>
  <c r="B44" i="1"/>
  <c r="B47" i="1"/>
  <c r="B49" i="1"/>
  <c r="B51" i="1"/>
  <c r="B53" i="1"/>
  <c r="B55" i="1"/>
  <c r="B57" i="1"/>
  <c r="B61" i="1"/>
  <c r="B63" i="1"/>
  <c r="B65" i="1"/>
  <c r="B67" i="1"/>
  <c r="B69" i="1"/>
  <c r="B71" i="1"/>
  <c r="B73" i="1"/>
  <c r="B75" i="1"/>
  <c r="B78" i="1"/>
  <c r="B80" i="1"/>
  <c r="B178" i="1"/>
  <c r="B179" i="1"/>
  <c r="B180" i="1"/>
  <c r="B181" i="1"/>
  <c r="B182" i="1"/>
  <c r="B183" i="1"/>
  <c r="B184" i="1"/>
  <c r="B185" i="1"/>
  <c r="B187" i="1"/>
  <c r="B188" i="1"/>
  <c r="B189" i="1"/>
  <c r="B190" i="1"/>
  <c r="B191" i="1"/>
  <c r="B192" i="1"/>
  <c r="B193" i="1"/>
  <c r="B194" i="1"/>
  <c r="B196" i="1"/>
  <c r="B197" i="1"/>
  <c r="B198" i="1"/>
  <c r="B199" i="1"/>
  <c r="B200" i="1"/>
  <c r="B201" i="1"/>
  <c r="B202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36" i="1"/>
  <c r="B238" i="1"/>
  <c r="B240" i="1"/>
  <c r="B242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67" i="1"/>
  <c r="B369" i="1"/>
  <c r="B370" i="1"/>
  <c r="B371" i="1"/>
  <c r="B372" i="1"/>
  <c r="B373" i="1"/>
  <c r="B374" i="1"/>
  <c r="B375" i="1"/>
  <c r="B376" i="1"/>
  <c r="B377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8" i="1"/>
  <c r="B378" i="1"/>
  <c r="B379" i="1"/>
  <c r="B380" i="1"/>
  <c r="B381" i="1"/>
  <c r="B382" i="1"/>
  <c r="B383" i="1"/>
  <c r="B384" i="1"/>
  <c r="B6" i="1"/>
  <c r="B10" i="1"/>
  <c r="B14" i="1"/>
  <c r="B18" i="1"/>
  <c r="B22" i="1"/>
  <c r="B26" i="1"/>
  <c r="B30" i="1"/>
  <c r="B34" i="1"/>
  <c r="B5" i="1"/>
  <c r="B36" i="1"/>
  <c r="B58" i="1"/>
  <c r="B2" i="1"/>
  <c r="B37" i="1"/>
  <c r="B4" i="1"/>
  <c r="B20" i="1"/>
  <c r="B42" i="1"/>
  <c r="B39" i="1"/>
  <c r="B8" i="1"/>
  <c r="B28" i="1"/>
  <c r="B16" i="1"/>
  <c r="B12" i="1"/>
  <c r="B32" i="1"/>
  <c r="B24" i="1"/>
  <c r="B45" i="1"/>
  <c r="B38" i="1"/>
  <c r="B59" i="1"/>
  <c r="B76" i="1"/>
  <c r="B87" i="1"/>
  <c r="B96" i="1"/>
  <c r="B244" i="1"/>
  <c r="B246" i="1"/>
  <c r="B248" i="1"/>
  <c r="B247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" i="1"/>
</calcChain>
</file>

<file path=xl/sharedStrings.xml><?xml version="1.0" encoding="utf-8"?>
<sst xmlns="http://schemas.openxmlformats.org/spreadsheetml/2006/main" count="2933" uniqueCount="1631">
  <si>
    <t>I</t>
  </si>
  <si>
    <t>Q</t>
  </si>
  <si>
    <t>M</t>
  </si>
  <si>
    <t>MB</t>
  </si>
  <si>
    <t>V</t>
  </si>
  <si>
    <t>VW</t>
  </si>
  <si>
    <t>VD</t>
  </si>
  <si>
    <t>T</t>
  </si>
  <si>
    <t>C</t>
  </si>
  <si>
    <t>DCS安全联锁信号检测</t>
  </si>
  <si>
    <t>I0.0</t>
  </si>
  <si>
    <t>故障报警</t>
  </si>
  <si>
    <t>KA1</t>
  </si>
  <si>
    <t>Q0.0</t>
  </si>
  <si>
    <t>燃气调节</t>
  </si>
  <si>
    <t>AQ0</t>
  </si>
  <si>
    <t>AQW80</t>
  </si>
  <si>
    <t>PID故障代码</t>
  </si>
  <si>
    <t>MB20</t>
  </si>
  <si>
    <t>VD500</t>
  </si>
  <si>
    <t>吹扫延时</t>
  </si>
  <si>
    <t>T101</t>
  </si>
  <si>
    <t>空气压力低检测</t>
  </si>
  <si>
    <t>I0.1</t>
  </si>
  <si>
    <t>吹扫结束</t>
  </si>
  <si>
    <t>KA2</t>
  </si>
  <si>
    <t>Q0.1</t>
  </si>
  <si>
    <t>燃气反馈</t>
  </si>
  <si>
    <t>AI1</t>
  </si>
  <si>
    <t>AIW82</t>
  </si>
  <si>
    <t>空气调节</t>
  </si>
  <si>
    <t>AQ1</t>
  </si>
  <si>
    <t>AQW82</t>
  </si>
  <si>
    <t>M0.1</t>
  </si>
  <si>
    <t>报错1</t>
  </si>
  <si>
    <t>MB21</t>
  </si>
  <si>
    <t>点火延时</t>
  </si>
  <si>
    <t>温度</t>
  </si>
  <si>
    <t>显示</t>
  </si>
  <si>
    <t>VD504</t>
  </si>
  <si>
    <t>T102</t>
  </si>
  <si>
    <t>燃气压力高检测</t>
  </si>
  <si>
    <t>I0.2</t>
  </si>
  <si>
    <t>KA3</t>
  </si>
  <si>
    <t>Q0.2</t>
  </si>
  <si>
    <t>空气反馈</t>
  </si>
  <si>
    <t>AI2</t>
  </si>
  <si>
    <t>AIW84</t>
  </si>
  <si>
    <t>M0.2</t>
  </si>
  <si>
    <t>报错2</t>
  </si>
  <si>
    <t>MB22</t>
  </si>
  <si>
    <t>升降档刷新时间</t>
  </si>
  <si>
    <t>燃气</t>
  </si>
  <si>
    <t>VD508</t>
  </si>
  <si>
    <t>T103</t>
  </si>
  <si>
    <t>燃气压力低检测</t>
  </si>
  <si>
    <t>I0.3</t>
  </si>
  <si>
    <t>故障复位</t>
  </si>
  <si>
    <t>KA4</t>
  </si>
  <si>
    <t>Q0.3</t>
  </si>
  <si>
    <t>M0.3</t>
  </si>
  <si>
    <t>空气</t>
  </si>
  <si>
    <t>VD512</t>
  </si>
  <si>
    <t>点火失败延时</t>
  </si>
  <si>
    <t>T104</t>
  </si>
  <si>
    <t>JES258故障</t>
  </si>
  <si>
    <t>I0.4</t>
  </si>
  <si>
    <t>有火指示</t>
  </si>
  <si>
    <t>KA5</t>
  </si>
  <si>
    <t>Q0.4</t>
  </si>
  <si>
    <t>M0.4</t>
  </si>
  <si>
    <t>主火阀开启延时</t>
  </si>
  <si>
    <t>VD516</t>
  </si>
  <si>
    <t>T105</t>
  </si>
  <si>
    <t>有火信号</t>
  </si>
  <si>
    <t>I0.5</t>
  </si>
  <si>
    <t>启动指示灯</t>
  </si>
  <si>
    <t>KA6</t>
  </si>
  <si>
    <t>Q0.5</t>
  </si>
  <si>
    <t>M0.5</t>
  </si>
  <si>
    <t>PID输出</t>
  </si>
  <si>
    <t>温度设定</t>
  </si>
  <si>
    <t>上限</t>
  </si>
  <si>
    <t>VD520</t>
  </si>
  <si>
    <t>T106</t>
  </si>
  <si>
    <t>启动</t>
  </si>
  <si>
    <t>I0.6</t>
  </si>
  <si>
    <t>停止指示灯</t>
  </si>
  <si>
    <t>KA7</t>
  </si>
  <si>
    <t>Q0.6</t>
  </si>
  <si>
    <t>M0.6</t>
  </si>
  <si>
    <t>下限</t>
  </si>
  <si>
    <t>VD524</t>
  </si>
  <si>
    <t>T107</t>
  </si>
  <si>
    <t>停止</t>
  </si>
  <si>
    <t>I0.7</t>
  </si>
  <si>
    <t>KA8</t>
  </si>
  <si>
    <t>Q0.7</t>
  </si>
  <si>
    <t>M0.7</t>
  </si>
  <si>
    <t>超温停机</t>
  </si>
  <si>
    <t>设置</t>
  </si>
  <si>
    <t>VD528</t>
  </si>
  <si>
    <t>T108</t>
  </si>
  <si>
    <t>复位</t>
  </si>
  <si>
    <t>I1.0</t>
  </si>
  <si>
    <t>燃气差</t>
  </si>
  <si>
    <t>绝对值</t>
  </si>
  <si>
    <t>VD532</t>
  </si>
  <si>
    <t>T109</t>
  </si>
  <si>
    <t>本地/远程</t>
  </si>
  <si>
    <t>I1.1</t>
  </si>
  <si>
    <t>M1.1</t>
  </si>
  <si>
    <t>空气差</t>
  </si>
  <si>
    <t>VD536</t>
  </si>
  <si>
    <t>T110</t>
  </si>
  <si>
    <t>I1.2</t>
  </si>
  <si>
    <t>M1.2</t>
  </si>
  <si>
    <t>时间m</t>
  </si>
  <si>
    <t>给定</t>
  </si>
  <si>
    <t>VD540</t>
  </si>
  <si>
    <t>T111</t>
  </si>
  <si>
    <t>I1.3</t>
  </si>
  <si>
    <t>M1.3</t>
  </si>
  <si>
    <t>VD544</t>
  </si>
  <si>
    <t>T112</t>
  </si>
  <si>
    <t>I1.4</t>
  </si>
  <si>
    <t>M1.4</t>
  </si>
  <si>
    <t>设定</t>
  </si>
  <si>
    <t>VD548</t>
  </si>
  <si>
    <t>T113</t>
  </si>
  <si>
    <t>I1.5</t>
  </si>
  <si>
    <t>M1.5</t>
  </si>
  <si>
    <t>VD552</t>
  </si>
  <si>
    <t>T114</t>
  </si>
  <si>
    <t>I1.6</t>
  </si>
  <si>
    <t>M1.6</t>
  </si>
  <si>
    <t>T115</t>
  </si>
  <si>
    <t>I1.7</t>
  </si>
  <si>
    <t>M1.7</t>
  </si>
  <si>
    <t>T116</t>
  </si>
  <si>
    <t>时间H</t>
  </si>
  <si>
    <t>吹扫空气阀开度</t>
  </si>
  <si>
    <t>VD564</t>
  </si>
  <si>
    <t>T117</t>
  </si>
  <si>
    <t>M2.1</t>
  </si>
  <si>
    <t>PID温度PV</t>
  </si>
  <si>
    <t>VD568</t>
  </si>
  <si>
    <t>T118</t>
  </si>
  <si>
    <t>M2.2</t>
  </si>
  <si>
    <t>VD572</t>
  </si>
  <si>
    <t>T119</t>
  </si>
  <si>
    <t>M2.3</t>
  </si>
  <si>
    <t>VD576</t>
  </si>
  <si>
    <t>T120</t>
  </si>
  <si>
    <t>M2.4</t>
  </si>
  <si>
    <t>VD580</t>
  </si>
  <si>
    <t>T121</t>
  </si>
  <si>
    <t>M2.5</t>
  </si>
  <si>
    <t>PID采样时间</t>
  </si>
  <si>
    <t>VD584</t>
  </si>
  <si>
    <t>T122</t>
  </si>
  <si>
    <t>M2.6</t>
  </si>
  <si>
    <t>PID手动值</t>
  </si>
  <si>
    <t>VD588</t>
  </si>
  <si>
    <t>T123</t>
  </si>
  <si>
    <t>M2.7</t>
  </si>
  <si>
    <t>VD592</t>
  </si>
  <si>
    <t>T124</t>
  </si>
  <si>
    <t>T125</t>
  </si>
  <si>
    <t>M3.1</t>
  </si>
  <si>
    <t>升1档</t>
  </si>
  <si>
    <t>当前档位</t>
  </si>
  <si>
    <t>VD600</t>
  </si>
  <si>
    <t>T126</t>
  </si>
  <si>
    <t>M3.2</t>
  </si>
  <si>
    <t>降1档</t>
  </si>
  <si>
    <t>档位设置</t>
  </si>
  <si>
    <t>VD604</t>
  </si>
  <si>
    <t>T127</t>
  </si>
  <si>
    <t>M3.3</t>
  </si>
  <si>
    <r>
      <t>手动/自动</t>
    </r>
    <r>
      <rPr>
        <sz val="12"/>
        <color indexed="10"/>
        <rFont val="宋体"/>
        <family val="3"/>
        <charset val="134"/>
      </rPr>
      <t>(0/1)</t>
    </r>
  </si>
  <si>
    <t>VD608</t>
  </si>
  <si>
    <t>T128</t>
  </si>
  <si>
    <t>M3.4</t>
  </si>
  <si>
    <t>PID开启</t>
  </si>
  <si>
    <t>PID输出换算档位</t>
  </si>
  <si>
    <t>VD612</t>
  </si>
  <si>
    <t>T129</t>
  </si>
  <si>
    <t>M3.5</t>
  </si>
  <si>
    <t>PID自动</t>
  </si>
  <si>
    <t>VD612/VD608</t>
  </si>
  <si>
    <t>VD616</t>
  </si>
  <si>
    <t>T130</t>
  </si>
  <si>
    <t>M3.6</t>
  </si>
  <si>
    <t>位 占用</t>
  </si>
  <si>
    <t>VD620</t>
  </si>
  <si>
    <t>T131</t>
  </si>
  <si>
    <t>M3.7</t>
  </si>
  <si>
    <t>VD624</t>
  </si>
  <si>
    <t>T132</t>
  </si>
  <si>
    <t>无故障-点火</t>
  </si>
  <si>
    <t>VD628</t>
  </si>
  <si>
    <t>T133</t>
  </si>
  <si>
    <t>M4.1</t>
  </si>
  <si>
    <t>点火状态</t>
  </si>
  <si>
    <t>VD632</t>
  </si>
  <si>
    <t>T134</t>
  </si>
  <si>
    <t>M4.2</t>
  </si>
  <si>
    <t>开始吹扫</t>
  </si>
  <si>
    <t>VD636</t>
  </si>
  <si>
    <t>T135</t>
  </si>
  <si>
    <t>M4.3</t>
  </si>
  <si>
    <t>吹扫结束，点火</t>
  </si>
  <si>
    <t>VD640</t>
  </si>
  <si>
    <t>T136</t>
  </si>
  <si>
    <t>M4.4</t>
  </si>
  <si>
    <t>点火成功</t>
  </si>
  <si>
    <t>VD644</t>
  </si>
  <si>
    <t>T137</t>
  </si>
  <si>
    <t>M4.5</t>
  </si>
  <si>
    <t>点火失败</t>
  </si>
  <si>
    <t>VD648</t>
  </si>
  <si>
    <t>T138</t>
  </si>
  <si>
    <t>M4.6</t>
  </si>
  <si>
    <t>火焰信号丢失</t>
  </si>
  <si>
    <t>VD652</t>
  </si>
  <si>
    <t>T139</t>
  </si>
  <si>
    <t>M4.7</t>
  </si>
  <si>
    <t>指定温度PID升温</t>
  </si>
  <si>
    <t>VD880</t>
  </si>
  <si>
    <t>T140</t>
  </si>
  <si>
    <t>燃气阀反馈比对超限</t>
  </si>
  <si>
    <t>VD660</t>
  </si>
  <si>
    <t>T141</t>
  </si>
  <si>
    <t>M5.1</t>
  </si>
  <si>
    <t>空气阀反馈比对超限</t>
  </si>
  <si>
    <t>VD664</t>
  </si>
  <si>
    <t>T142</t>
  </si>
  <si>
    <t>M5.2</t>
  </si>
  <si>
    <t>VD668</t>
  </si>
  <si>
    <t>T143</t>
  </si>
  <si>
    <t>M5.3</t>
  </si>
  <si>
    <t>VD672</t>
  </si>
  <si>
    <t>T144</t>
  </si>
  <si>
    <t>M5.4</t>
  </si>
  <si>
    <t>VD676</t>
  </si>
  <si>
    <t>T145</t>
  </si>
  <si>
    <t>M5.5</t>
  </si>
  <si>
    <t>VD680</t>
  </si>
  <si>
    <t>T146</t>
  </si>
  <si>
    <t>M5.6</t>
  </si>
  <si>
    <t>VD684</t>
  </si>
  <si>
    <t>T147</t>
  </si>
  <si>
    <t>M5.7</t>
  </si>
  <si>
    <t>VD688</t>
  </si>
  <si>
    <t>T148</t>
  </si>
  <si>
    <t>VD692</t>
  </si>
  <si>
    <t>T149</t>
  </si>
  <si>
    <t>M6.1</t>
  </si>
  <si>
    <t>VD696</t>
  </si>
  <si>
    <t>T150</t>
  </si>
  <si>
    <t>M6.2</t>
  </si>
  <si>
    <t>VD700</t>
  </si>
  <si>
    <t>T151</t>
  </si>
  <si>
    <t>M6.3</t>
  </si>
  <si>
    <t>VD704</t>
  </si>
  <si>
    <t>T152</t>
  </si>
  <si>
    <t>M6.4</t>
  </si>
  <si>
    <t>VD708</t>
  </si>
  <si>
    <t>T153</t>
  </si>
  <si>
    <t>M6.5</t>
  </si>
  <si>
    <t>VD712</t>
  </si>
  <si>
    <t>T154</t>
  </si>
  <si>
    <t>M6.6</t>
  </si>
  <si>
    <t>VD716</t>
  </si>
  <si>
    <t>T155</t>
  </si>
  <si>
    <t>M6.7</t>
  </si>
  <si>
    <t>VD720</t>
  </si>
  <si>
    <t>T156</t>
  </si>
  <si>
    <t>VD724</t>
  </si>
  <si>
    <t>T157</t>
  </si>
  <si>
    <t>M7.1</t>
  </si>
  <si>
    <t>VD728</t>
  </si>
  <si>
    <t>T158</t>
  </si>
  <si>
    <t>M7.2</t>
  </si>
  <si>
    <t>故障输出</t>
  </si>
  <si>
    <t>VD732</t>
  </si>
  <si>
    <t>T159</t>
  </si>
  <si>
    <t>M7.3</t>
  </si>
  <si>
    <t>VD736</t>
  </si>
  <si>
    <t>T160</t>
  </si>
  <si>
    <t>M7.4</t>
  </si>
  <si>
    <t>VD740</t>
  </si>
  <si>
    <t>T161</t>
  </si>
  <si>
    <t>M7.5</t>
  </si>
  <si>
    <t>VD744</t>
  </si>
  <si>
    <t>T162</t>
  </si>
  <si>
    <t>M7.6</t>
  </si>
  <si>
    <t>VD748</t>
  </si>
  <si>
    <t>T163</t>
  </si>
  <si>
    <t>M7.7</t>
  </si>
  <si>
    <t>VD752</t>
  </si>
  <si>
    <t>T164</t>
  </si>
  <si>
    <t>VD756</t>
  </si>
  <si>
    <t>T165</t>
  </si>
  <si>
    <t>M8.1</t>
  </si>
  <si>
    <t>阶段二设定温度读值</t>
  </si>
  <si>
    <t>VD760</t>
  </si>
  <si>
    <t>T166</t>
  </si>
  <si>
    <t>M8.2</t>
  </si>
  <si>
    <t>阶段三设定温度读值</t>
  </si>
  <si>
    <t>VD764</t>
  </si>
  <si>
    <t>M8.3</t>
  </si>
  <si>
    <t>阶段四设定温度读值</t>
  </si>
  <si>
    <t>VD768</t>
  </si>
  <si>
    <t>M8.4</t>
  </si>
  <si>
    <t>阶段五设定温度读值</t>
  </si>
  <si>
    <t>VD772</t>
  </si>
  <si>
    <t>M8.5</t>
  </si>
  <si>
    <t>阶段六设定温度读值</t>
  </si>
  <si>
    <t>VD776</t>
  </si>
  <si>
    <t>M8.6</t>
  </si>
  <si>
    <t>VD780</t>
  </si>
  <si>
    <t>M8.7</t>
  </si>
  <si>
    <t>VD784</t>
  </si>
  <si>
    <t>故障状态</t>
  </si>
  <si>
    <t>V620.0</t>
  </si>
  <si>
    <t>VD788</t>
  </si>
  <si>
    <t>M9.1</t>
  </si>
  <si>
    <t>自动状态</t>
  </si>
  <si>
    <t>V620.1</t>
  </si>
  <si>
    <t>VD792</t>
  </si>
  <si>
    <t>M9.2</t>
  </si>
  <si>
    <t>启动状态</t>
  </si>
  <si>
    <t>V620.2</t>
  </si>
  <si>
    <t>VD796</t>
  </si>
  <si>
    <t>M9.3</t>
  </si>
  <si>
    <t>停止状态</t>
  </si>
  <si>
    <t>V620.3</t>
  </si>
  <si>
    <t>VD800</t>
  </si>
  <si>
    <t>M9.4</t>
  </si>
  <si>
    <t>远程状态</t>
  </si>
  <si>
    <t>V620.4</t>
  </si>
  <si>
    <t>VD804</t>
  </si>
  <si>
    <t>M9.5</t>
  </si>
  <si>
    <t>V620.5</t>
  </si>
  <si>
    <t>VD808</t>
  </si>
  <si>
    <t>M9.6</t>
  </si>
  <si>
    <t>V620.6</t>
  </si>
  <si>
    <t>VD812</t>
  </si>
  <si>
    <t>M9.7</t>
  </si>
  <si>
    <t>V620.7</t>
  </si>
  <si>
    <t>VD816</t>
  </si>
  <si>
    <t>升档</t>
  </si>
  <si>
    <t>V621.0</t>
  </si>
  <si>
    <t>VD820</t>
  </si>
  <si>
    <t>M10.1</t>
  </si>
  <si>
    <t>降档</t>
  </si>
  <si>
    <t>V621.1</t>
  </si>
  <si>
    <t>VD824</t>
  </si>
  <si>
    <t>M10.2</t>
  </si>
  <si>
    <t>VD828</t>
  </si>
  <si>
    <t>M10.3</t>
  </si>
  <si>
    <t>VD832</t>
  </si>
  <si>
    <t>M10.4</t>
  </si>
  <si>
    <t>VD836</t>
  </si>
  <si>
    <t>M10.5</t>
  </si>
  <si>
    <t>VD840</t>
  </si>
  <si>
    <t>M10.6</t>
  </si>
  <si>
    <t>VD844</t>
  </si>
  <si>
    <t>M10.7</t>
  </si>
  <si>
    <t>VD848</t>
  </si>
  <si>
    <t>VD852</t>
  </si>
  <si>
    <t>M11.1</t>
  </si>
  <si>
    <t>VD856</t>
  </si>
  <si>
    <t>M11.2</t>
  </si>
  <si>
    <t>VD860</t>
  </si>
  <si>
    <t>M11.3</t>
  </si>
  <si>
    <t>VD864</t>
  </si>
  <si>
    <t>M11.4</t>
  </si>
  <si>
    <t>VD868</t>
  </si>
  <si>
    <t>M11.5</t>
  </si>
  <si>
    <t>VD872</t>
  </si>
  <si>
    <t>M11.6</t>
  </si>
  <si>
    <t>VD876</t>
  </si>
  <si>
    <t>M11.7</t>
  </si>
  <si>
    <t>VD884</t>
  </si>
  <si>
    <t>M12.1</t>
  </si>
  <si>
    <t>VD888</t>
  </si>
  <si>
    <t>M12.2</t>
  </si>
  <si>
    <t>M12.3</t>
  </si>
  <si>
    <t>M12.4</t>
  </si>
  <si>
    <t>M12.5</t>
  </si>
  <si>
    <t>M12.6</t>
  </si>
  <si>
    <t>M12.7</t>
  </si>
  <si>
    <t>M13.1</t>
  </si>
  <si>
    <t>M13.2</t>
  </si>
  <si>
    <t>M13.3</t>
  </si>
  <si>
    <t>M13.4</t>
  </si>
  <si>
    <t>M13.5</t>
  </si>
  <si>
    <t>M13.6</t>
  </si>
  <si>
    <t>M13.7</t>
  </si>
  <si>
    <t>M14.1</t>
  </si>
  <si>
    <t>M14.2</t>
  </si>
  <si>
    <t>M14.3</t>
  </si>
  <si>
    <t>M14.4</t>
  </si>
  <si>
    <t>M14.5</t>
  </si>
  <si>
    <t>M14.6</t>
  </si>
  <si>
    <t>M14.7</t>
  </si>
  <si>
    <t>2档空气+5</t>
    <phoneticPr fontId="4" type="noConversion"/>
  </si>
  <si>
    <t>空气阀检测延时时间</t>
    <phoneticPr fontId="4" type="noConversion"/>
  </si>
  <si>
    <t>检漏延时定时器</t>
    <phoneticPr fontId="4" type="noConversion"/>
  </si>
  <si>
    <t>吹扫时间设定</t>
    <phoneticPr fontId="4" type="noConversion"/>
  </si>
  <si>
    <t>吹扫动画显示</t>
    <phoneticPr fontId="4" type="noConversion"/>
  </si>
  <si>
    <t>吹扫计时开始</t>
    <phoneticPr fontId="4" type="noConversion"/>
  </si>
  <si>
    <t>点火延时结束</t>
    <phoneticPr fontId="4" type="noConversion"/>
  </si>
  <si>
    <t>点火延时</t>
    <phoneticPr fontId="4" type="noConversion"/>
  </si>
  <si>
    <t>点火延时开始</t>
    <phoneticPr fontId="4" type="noConversion"/>
  </si>
  <si>
    <t>吹扫结束，运行</t>
    <phoneticPr fontId="4" type="noConversion"/>
  </si>
  <si>
    <t>当前温度DI</t>
    <phoneticPr fontId="4" type="noConversion"/>
  </si>
  <si>
    <t>当前温度R</t>
    <phoneticPr fontId="4" type="noConversion"/>
  </si>
  <si>
    <t>空气调节阀故障1</t>
    <phoneticPr fontId="4" type="noConversion"/>
  </si>
  <si>
    <t>调节阀故障</t>
    <phoneticPr fontId="4" type="noConversion"/>
  </si>
  <si>
    <t>报警显示</t>
    <phoneticPr fontId="4" type="noConversion"/>
  </si>
  <si>
    <t>燃气调节阀故障</t>
    <phoneticPr fontId="4" type="noConversion"/>
  </si>
  <si>
    <t>故障停机</t>
    <phoneticPr fontId="4" type="noConversion"/>
  </si>
  <si>
    <t>故障显示</t>
    <phoneticPr fontId="4" type="noConversion"/>
  </si>
  <si>
    <t>空气调节阀故障2</t>
    <phoneticPr fontId="4" type="noConversion"/>
  </si>
  <si>
    <t>阶段一设定温度读值</t>
    <phoneticPr fontId="4" type="noConversion"/>
  </si>
  <si>
    <t>阶段1温度</t>
    <phoneticPr fontId="4" type="noConversion"/>
  </si>
  <si>
    <t>阶段2温度</t>
    <phoneticPr fontId="4" type="noConversion"/>
  </si>
  <si>
    <t>阶段3温度</t>
    <phoneticPr fontId="4" type="noConversion"/>
  </si>
  <si>
    <t>阶段4温度</t>
    <phoneticPr fontId="4" type="noConversion"/>
  </si>
  <si>
    <t>阶段5温度</t>
    <phoneticPr fontId="4" type="noConversion"/>
  </si>
  <si>
    <t>阶段6温度</t>
    <phoneticPr fontId="4" type="noConversion"/>
  </si>
  <si>
    <t>本地点火状态</t>
    <phoneticPr fontId="4" type="noConversion"/>
  </si>
  <si>
    <t>远程点火状态</t>
    <phoneticPr fontId="4" type="noConversion"/>
  </si>
  <si>
    <t>本地启动CMD</t>
    <phoneticPr fontId="4" type="noConversion"/>
  </si>
  <si>
    <t>远程启动CMD</t>
    <phoneticPr fontId="4" type="noConversion"/>
  </si>
  <si>
    <t>本地停止CMD</t>
    <phoneticPr fontId="4" type="noConversion"/>
  </si>
  <si>
    <t>远程停止CMD</t>
    <phoneticPr fontId="4" type="noConversion"/>
  </si>
  <si>
    <t>远程复位CMD</t>
    <phoneticPr fontId="4" type="noConversion"/>
  </si>
  <si>
    <t>本地复位CMD</t>
    <phoneticPr fontId="4" type="noConversion"/>
  </si>
  <si>
    <t>当前温度</t>
    <phoneticPr fontId="4" type="noConversion"/>
  </si>
  <si>
    <t>超温停机设定值</t>
    <phoneticPr fontId="4" type="noConversion"/>
  </si>
  <si>
    <t>PID微分_D</t>
  </si>
  <si>
    <t>PID增益_P</t>
  </si>
  <si>
    <t>PID积分_I</t>
  </si>
  <si>
    <t>燃气4档</t>
    <phoneticPr fontId="4" type="noConversion"/>
  </si>
  <si>
    <t>燃气5档</t>
    <phoneticPr fontId="4" type="noConversion"/>
  </si>
  <si>
    <t>燃气6档</t>
    <phoneticPr fontId="4" type="noConversion"/>
  </si>
  <si>
    <t>燃气7档</t>
    <phoneticPr fontId="4" type="noConversion"/>
  </si>
  <si>
    <t>燃气8档</t>
    <phoneticPr fontId="4" type="noConversion"/>
  </si>
  <si>
    <t>燃气9档</t>
    <phoneticPr fontId="4" type="noConversion"/>
  </si>
  <si>
    <t>燃气10档</t>
    <phoneticPr fontId="4" type="noConversion"/>
  </si>
  <si>
    <t>燃气11档</t>
    <phoneticPr fontId="4" type="noConversion"/>
  </si>
  <si>
    <t>燃气12档</t>
    <phoneticPr fontId="4" type="noConversion"/>
  </si>
  <si>
    <t>燃气13档</t>
    <phoneticPr fontId="4" type="noConversion"/>
  </si>
  <si>
    <t>燃气14档</t>
    <phoneticPr fontId="4" type="noConversion"/>
  </si>
  <si>
    <t>燃气15档</t>
    <phoneticPr fontId="4" type="noConversion"/>
  </si>
  <si>
    <t>燃气16档</t>
    <phoneticPr fontId="4" type="noConversion"/>
  </si>
  <si>
    <t>燃气17档</t>
    <phoneticPr fontId="4" type="noConversion"/>
  </si>
  <si>
    <t>燃气18档</t>
    <phoneticPr fontId="4" type="noConversion"/>
  </si>
  <si>
    <t>燃气19档</t>
    <phoneticPr fontId="4" type="noConversion"/>
  </si>
  <si>
    <t>燃气20档</t>
    <phoneticPr fontId="4" type="noConversion"/>
  </si>
  <si>
    <t>燃气</t>
    <phoneticPr fontId="4" type="noConversion"/>
  </si>
  <si>
    <t>空气</t>
    <phoneticPr fontId="4" type="noConversion"/>
  </si>
  <si>
    <t>空气1档</t>
    <phoneticPr fontId="4" type="noConversion"/>
  </si>
  <si>
    <t>空气2档</t>
    <phoneticPr fontId="4" type="noConversion"/>
  </si>
  <si>
    <t>空气3档</t>
    <phoneticPr fontId="4" type="noConversion"/>
  </si>
  <si>
    <t>空气4档</t>
    <phoneticPr fontId="4" type="noConversion"/>
  </si>
  <si>
    <t>空气5档</t>
    <phoneticPr fontId="4" type="noConversion"/>
  </si>
  <si>
    <t>空气6档</t>
    <phoneticPr fontId="4" type="noConversion"/>
  </si>
  <si>
    <t>空气7档</t>
    <phoneticPr fontId="4" type="noConversion"/>
  </si>
  <si>
    <t>空气8档</t>
    <phoneticPr fontId="4" type="noConversion"/>
  </si>
  <si>
    <t>空气9档</t>
    <phoneticPr fontId="4" type="noConversion"/>
  </si>
  <si>
    <t>空气10档</t>
  </si>
  <si>
    <t>空气11档</t>
  </si>
  <si>
    <t>空气12档</t>
  </si>
  <si>
    <t>空气13档</t>
  </si>
  <si>
    <t>空气14档</t>
  </si>
  <si>
    <t>空气15档</t>
  </si>
  <si>
    <t>空气16档</t>
  </si>
  <si>
    <t>空气17档</t>
  </si>
  <si>
    <t>空气18档</t>
  </si>
  <si>
    <t>空气19档</t>
  </si>
  <si>
    <t>空气20档</t>
  </si>
  <si>
    <t>主火阀开启延时</t>
    <phoneticPr fontId="4" type="noConversion"/>
  </si>
  <si>
    <t>检漏主火阀</t>
    <phoneticPr fontId="4" type="noConversion"/>
  </si>
  <si>
    <t>通讯状态1</t>
    <phoneticPr fontId="4" type="noConversion"/>
  </si>
  <si>
    <t>通讯状态2</t>
    <phoneticPr fontId="4" type="noConversion"/>
  </si>
  <si>
    <t>阶段1计数器</t>
    <phoneticPr fontId="4" type="noConversion"/>
  </si>
  <si>
    <t>阶段2计数器</t>
    <phoneticPr fontId="4" type="noConversion"/>
  </si>
  <si>
    <t>阶段3计数器</t>
  </si>
  <si>
    <t>阶段4计数器</t>
  </si>
  <si>
    <t>阶段5计数器</t>
  </si>
  <si>
    <t>阶段6计数器</t>
  </si>
  <si>
    <t>分钟计数器 系统时间</t>
    <phoneticPr fontId="4" type="noConversion"/>
  </si>
  <si>
    <t>小时计数器 系统时间</t>
    <phoneticPr fontId="4" type="noConversion"/>
  </si>
  <si>
    <t>轮数计数器 系统时间</t>
    <phoneticPr fontId="4" type="noConversion"/>
  </si>
  <si>
    <t>安全阀</t>
    <phoneticPr fontId="4" type="noConversion"/>
  </si>
  <si>
    <t>主火阀</t>
    <phoneticPr fontId="4" type="noConversion"/>
  </si>
  <si>
    <t>当量_每档</t>
    <phoneticPr fontId="4" type="noConversion"/>
  </si>
  <si>
    <t>燃气偏差允许值</t>
    <phoneticPr fontId="4" type="noConversion"/>
  </si>
  <si>
    <t>空气偏差允许值</t>
    <phoneticPr fontId="4" type="noConversion"/>
  </si>
  <si>
    <t>条件故障</t>
    <phoneticPr fontId="4" type="noConversion"/>
  </si>
  <si>
    <t>VB</t>
  </si>
  <si>
    <t>调节阀检测标志</t>
  </si>
  <si>
    <t>检漏标志</t>
  </si>
  <si>
    <t>0:停止检漏 1:检漏中 2:检漏完成</t>
  </si>
  <si>
    <t>检漏程序步</t>
  </si>
  <si>
    <t>检漏第1、2、3、4步</t>
  </si>
  <si>
    <t>0:停止检测 1:检测中 2:检测完成</t>
    <phoneticPr fontId="4" type="noConversion"/>
  </si>
  <si>
    <t>C0</t>
    <phoneticPr fontId="4" type="noConversion"/>
  </si>
  <si>
    <t>C1</t>
    <phoneticPr fontId="4" type="noConversion"/>
  </si>
  <si>
    <t>C2</t>
    <phoneticPr fontId="4" type="noConversion"/>
  </si>
  <si>
    <t>C3</t>
    <phoneticPr fontId="4" type="noConversion"/>
  </si>
  <si>
    <t>C4</t>
    <phoneticPr fontId="4" type="noConversion"/>
  </si>
  <si>
    <t>C5</t>
    <phoneticPr fontId="4" type="noConversion"/>
  </si>
  <si>
    <t>C100</t>
    <phoneticPr fontId="4" type="noConversion"/>
  </si>
  <si>
    <t>C101</t>
    <phoneticPr fontId="4" type="noConversion"/>
  </si>
  <si>
    <t>C102</t>
    <phoneticPr fontId="4" type="noConversion"/>
  </si>
  <si>
    <t>地址</t>
    <phoneticPr fontId="4" type="noConversion"/>
  </si>
  <si>
    <t>注释</t>
    <phoneticPr fontId="4" type="noConversion"/>
  </si>
  <si>
    <t>排序</t>
    <phoneticPr fontId="4" type="noConversion"/>
  </si>
  <si>
    <t>存储区</t>
    <phoneticPr fontId="4" type="noConversion"/>
  </si>
  <si>
    <t>存储区</t>
    <phoneticPr fontId="10" type="noConversion"/>
  </si>
  <si>
    <t>I</t>
    <phoneticPr fontId="10" type="noConversion"/>
  </si>
  <si>
    <t>Q</t>
    <phoneticPr fontId="10" type="noConversion"/>
  </si>
  <si>
    <t>AI</t>
  </si>
  <si>
    <t>AI</t>
    <phoneticPr fontId="10" type="noConversion"/>
  </si>
  <si>
    <t>AQ</t>
  </si>
  <si>
    <t>AQ</t>
    <phoneticPr fontId="10" type="noConversion"/>
  </si>
  <si>
    <t>V</t>
    <phoneticPr fontId="10" type="noConversion"/>
  </si>
  <si>
    <t>T</t>
    <phoneticPr fontId="10" type="noConversion"/>
  </si>
  <si>
    <t>C</t>
    <phoneticPr fontId="10" type="noConversion"/>
  </si>
  <si>
    <t>符号</t>
    <phoneticPr fontId="4" type="noConversion"/>
  </si>
  <si>
    <t>M</t>
    <phoneticPr fontId="10" type="noConversion"/>
  </si>
  <si>
    <t>MB</t>
    <phoneticPr fontId="10" type="noConversion"/>
  </si>
  <si>
    <t>VD</t>
    <phoneticPr fontId="10" type="noConversion"/>
  </si>
  <si>
    <t>VW</t>
    <phoneticPr fontId="10" type="noConversion"/>
  </si>
  <si>
    <t>VB</t>
    <phoneticPr fontId="10" type="noConversion"/>
  </si>
  <si>
    <t>M0.0</t>
    <phoneticPr fontId="4" type="noConversion"/>
  </si>
  <si>
    <t>M1.0</t>
    <phoneticPr fontId="4" type="noConversion"/>
  </si>
  <si>
    <t>M3.0</t>
    <phoneticPr fontId="4" type="noConversion"/>
  </si>
  <si>
    <t>M4.0</t>
    <phoneticPr fontId="4" type="noConversion"/>
  </si>
  <si>
    <t>M5.0</t>
    <phoneticPr fontId="4" type="noConversion"/>
  </si>
  <si>
    <t>M6.0</t>
    <phoneticPr fontId="4" type="noConversion"/>
  </si>
  <si>
    <t>M7.0</t>
    <phoneticPr fontId="4" type="noConversion"/>
  </si>
  <si>
    <t>M9.0</t>
    <phoneticPr fontId="4" type="noConversion"/>
  </si>
  <si>
    <t>M8.0</t>
    <phoneticPr fontId="4" type="noConversion"/>
  </si>
  <si>
    <t>M10.0</t>
    <phoneticPr fontId="4" type="noConversion"/>
  </si>
  <si>
    <t>M11.0</t>
    <phoneticPr fontId="4" type="noConversion"/>
  </si>
  <si>
    <t>M12.0</t>
    <phoneticPr fontId="4" type="noConversion"/>
  </si>
  <si>
    <t>M13.0</t>
    <phoneticPr fontId="4" type="noConversion"/>
  </si>
  <si>
    <t>M14.0</t>
    <phoneticPr fontId="4" type="noConversion"/>
  </si>
  <si>
    <t>M2.0</t>
    <phoneticPr fontId="4" type="noConversion"/>
  </si>
  <si>
    <t>V0.1</t>
  </si>
  <si>
    <t>V0.2</t>
  </si>
  <si>
    <t>V0.3</t>
  </si>
  <si>
    <t>V0.4</t>
  </si>
  <si>
    <t>V0.5</t>
  </si>
  <si>
    <t>V0.6</t>
  </si>
  <si>
    <t>V0.7</t>
  </si>
  <si>
    <t>V1.1</t>
  </si>
  <si>
    <t>V1.2</t>
  </si>
  <si>
    <t>V1.3</t>
  </si>
  <si>
    <t>V1.4</t>
  </si>
  <si>
    <t>V1.5</t>
  </si>
  <si>
    <t>V1.6</t>
  </si>
  <si>
    <t>V1.7</t>
  </si>
  <si>
    <t>V2.1</t>
  </si>
  <si>
    <t>V2.2</t>
  </si>
  <si>
    <t>V2.3</t>
  </si>
  <si>
    <t>V2.4</t>
  </si>
  <si>
    <t>V2.5</t>
  </si>
  <si>
    <t>V2.6</t>
  </si>
  <si>
    <t>V2.7</t>
  </si>
  <si>
    <t>V3.1</t>
  </si>
  <si>
    <t>V20.1</t>
  </si>
  <si>
    <t>V20.2</t>
  </si>
  <si>
    <t>V20.3</t>
  </si>
  <si>
    <t>V20.4</t>
  </si>
  <si>
    <t>V20.5</t>
  </si>
  <si>
    <t>V20.6</t>
  </si>
  <si>
    <t>V20.7</t>
  </si>
  <si>
    <t>V21.1</t>
  </si>
  <si>
    <t>V21.2</t>
  </si>
  <si>
    <t>V21.3</t>
  </si>
  <si>
    <t>V21.4</t>
  </si>
  <si>
    <t>V21.5</t>
  </si>
  <si>
    <t>V21.6</t>
  </si>
  <si>
    <t>V21.7</t>
  </si>
  <si>
    <t>V22.1</t>
  </si>
  <si>
    <t>V22.2</t>
  </si>
  <si>
    <t>V22.3</t>
  </si>
  <si>
    <t>V22.4</t>
  </si>
  <si>
    <t>V22.5</t>
  </si>
  <si>
    <t>V22.6</t>
  </si>
  <si>
    <t>V22.7</t>
  </si>
  <si>
    <t>V23.1</t>
  </si>
  <si>
    <t>V23.2</t>
  </si>
  <si>
    <t>V23.3</t>
  </si>
  <si>
    <t>V23.4</t>
  </si>
  <si>
    <t>V23.5</t>
  </si>
  <si>
    <t>V23.6</t>
  </si>
  <si>
    <t>V23.7</t>
  </si>
  <si>
    <t>V24.1</t>
  </si>
  <si>
    <t>V24.2</t>
  </si>
  <si>
    <t>V24.3</t>
  </si>
  <si>
    <t>V24.4</t>
  </si>
  <si>
    <t>V24.5</t>
  </si>
  <si>
    <t>V24.6</t>
  </si>
  <si>
    <t>V24.7</t>
  </si>
  <si>
    <t>V25.1</t>
  </si>
  <si>
    <t>V25.2</t>
  </si>
  <si>
    <t>V25.3</t>
  </si>
  <si>
    <t>V25.4</t>
  </si>
  <si>
    <t>V25.5</t>
  </si>
  <si>
    <t>V25.6</t>
  </si>
  <si>
    <t>V25.7</t>
  </si>
  <si>
    <t>V30.7</t>
  </si>
  <si>
    <t>V0.0</t>
    <phoneticPr fontId="4" type="noConversion"/>
  </si>
  <si>
    <t>V1.0</t>
    <phoneticPr fontId="4" type="noConversion"/>
  </si>
  <si>
    <t>V2.0</t>
    <phoneticPr fontId="4" type="noConversion"/>
  </si>
  <si>
    <t>V3.0</t>
    <phoneticPr fontId="4" type="noConversion"/>
  </si>
  <si>
    <t>V20.0</t>
    <phoneticPr fontId="4" type="noConversion"/>
  </si>
  <si>
    <t>V21.0</t>
    <phoneticPr fontId="4" type="noConversion"/>
  </si>
  <si>
    <t>V22.0</t>
    <phoneticPr fontId="4" type="noConversion"/>
  </si>
  <si>
    <t>V23.0</t>
    <phoneticPr fontId="4" type="noConversion"/>
  </si>
  <si>
    <t>V24.0</t>
    <phoneticPr fontId="4" type="noConversion"/>
  </si>
  <si>
    <t>V25.0</t>
    <phoneticPr fontId="4" type="noConversion"/>
  </si>
  <si>
    <t>VB40</t>
    <phoneticPr fontId="4" type="noConversion"/>
  </si>
  <si>
    <t>VB41</t>
    <phoneticPr fontId="4" type="noConversion"/>
  </si>
  <si>
    <t>VB42</t>
    <phoneticPr fontId="4" type="noConversion"/>
  </si>
  <si>
    <t>VW200</t>
  </si>
  <si>
    <t>VW202</t>
  </si>
  <si>
    <t>VW204</t>
  </si>
  <si>
    <t>VW206</t>
  </si>
  <si>
    <t>VW208</t>
  </si>
  <si>
    <t>VW210</t>
  </si>
  <si>
    <t>VW212</t>
  </si>
  <si>
    <t>VW214</t>
  </si>
  <si>
    <t>VW216</t>
  </si>
  <si>
    <t>VW218</t>
  </si>
  <si>
    <t>VW220</t>
  </si>
  <si>
    <t>VW222</t>
  </si>
  <si>
    <t>VW224</t>
  </si>
  <si>
    <t>VW226</t>
  </si>
  <si>
    <t>VW228</t>
  </si>
  <si>
    <t>VW230</t>
  </si>
  <si>
    <t>VW232</t>
  </si>
  <si>
    <t>VW234</t>
  </si>
  <si>
    <t>VW236</t>
  </si>
  <si>
    <t>VW238</t>
  </si>
  <si>
    <t>VW240</t>
  </si>
  <si>
    <t>VW242</t>
  </si>
  <si>
    <t>VW244</t>
  </si>
  <si>
    <t>V620</t>
  </si>
  <si>
    <t>V621</t>
  </si>
  <si>
    <t>VD300</t>
  </si>
  <si>
    <t>VD304</t>
  </si>
  <si>
    <t>VD596</t>
  </si>
  <si>
    <t>VW898</t>
    <phoneticPr fontId="4" type="noConversion"/>
  </si>
  <si>
    <t>调节阀检测定时器</t>
    <phoneticPr fontId="4" type="noConversion"/>
  </si>
  <si>
    <t>检漏异常</t>
  </si>
  <si>
    <t>阀V2_1</t>
  </si>
  <si>
    <t>V30.0</t>
  </si>
  <si>
    <t>阀V2_2</t>
  </si>
  <si>
    <t>V30.1</t>
  </si>
  <si>
    <t>阀V1_1</t>
  </si>
  <si>
    <t>V30.2</t>
  </si>
  <si>
    <t>阀V1_2</t>
  </si>
  <si>
    <t>V30.3</t>
  </si>
  <si>
    <t>检漏异常1</t>
  </si>
  <si>
    <t>V30.4</t>
  </si>
  <si>
    <t>检漏异常2</t>
  </si>
  <si>
    <t>V30.5</t>
  </si>
  <si>
    <t>检漏通过</t>
  </si>
  <si>
    <t>V30.6</t>
  </si>
  <si>
    <t>大火指示</t>
  </si>
  <si>
    <t>V31.0</t>
  </si>
  <si>
    <t>VB40</t>
  </si>
  <si>
    <t>VB41</t>
  </si>
  <si>
    <t>VB42</t>
  </si>
  <si>
    <t>0停止检测、1检测中、2检测完成</t>
  </si>
  <si>
    <t>V</t>
    <phoneticPr fontId="4" type="noConversion"/>
  </si>
  <si>
    <t>VB</t>
    <phoneticPr fontId="4" type="noConversion"/>
  </si>
  <si>
    <t>点火档</t>
    <phoneticPr fontId="4" type="noConversion"/>
  </si>
  <si>
    <t>燃气3档</t>
    <phoneticPr fontId="4" type="noConversion"/>
  </si>
  <si>
    <t>燃气2档</t>
    <phoneticPr fontId="4" type="noConversion"/>
  </si>
  <si>
    <t>燃气1档</t>
    <phoneticPr fontId="4" type="noConversion"/>
  </si>
  <si>
    <t>0档</t>
    <phoneticPr fontId="4" type="noConversion"/>
  </si>
  <si>
    <t>VW</t>
    <phoneticPr fontId="4" type="noConversion"/>
  </si>
  <si>
    <t>前火检时长设定值</t>
  </si>
  <si>
    <t>VW100</t>
  </si>
  <si>
    <t>设定 S</t>
    <phoneticPr fontId="4" type="noConversion"/>
  </si>
  <si>
    <t>停电保持</t>
    <phoneticPr fontId="4" type="noConversion"/>
  </si>
  <si>
    <t>停电保持</t>
    <phoneticPr fontId="10" type="noConversion"/>
  </si>
  <si>
    <t>是</t>
  </si>
  <si>
    <t>是</t>
    <phoneticPr fontId="10" type="noConversion"/>
  </si>
  <si>
    <t>否</t>
  </si>
  <si>
    <t>否</t>
    <phoneticPr fontId="10" type="noConversion"/>
  </si>
  <si>
    <t>否</t>
    <phoneticPr fontId="4" type="noConversion"/>
  </si>
  <si>
    <t>是</t>
    <phoneticPr fontId="4" type="noConversion"/>
  </si>
  <si>
    <t>时间H</t>
    <phoneticPr fontId="4" type="noConversion"/>
  </si>
  <si>
    <t>阶段1时长m</t>
    <phoneticPr fontId="4" type="noConversion"/>
  </si>
  <si>
    <t>阶段2时长m</t>
    <phoneticPr fontId="4" type="noConversion"/>
  </si>
  <si>
    <t>阶段3时长m</t>
    <phoneticPr fontId="4" type="noConversion"/>
  </si>
  <si>
    <t>阶段4时长m</t>
    <phoneticPr fontId="4" type="noConversion"/>
  </si>
  <si>
    <t>阶段5时长m</t>
    <phoneticPr fontId="4" type="noConversion"/>
  </si>
  <si>
    <t>阶段6时长m</t>
    <phoneticPr fontId="4" type="noConversion"/>
  </si>
  <si>
    <t>阶段1设定h</t>
    <phoneticPr fontId="4" type="noConversion"/>
  </si>
  <si>
    <t>阶段2设定h</t>
    <phoneticPr fontId="4" type="noConversion"/>
  </si>
  <si>
    <t>阶段3设定h</t>
    <phoneticPr fontId="4" type="noConversion"/>
  </si>
  <si>
    <t>阶段4设定h</t>
    <phoneticPr fontId="4" type="noConversion"/>
  </si>
  <si>
    <t>阶段5设定h</t>
    <phoneticPr fontId="4" type="noConversion"/>
  </si>
  <si>
    <t>阶段6设定h</t>
    <phoneticPr fontId="4" type="noConversion"/>
  </si>
  <si>
    <t>0手动；1自动</t>
    <phoneticPr fontId="4" type="noConversion"/>
  </si>
  <si>
    <t>C0</t>
  </si>
  <si>
    <t>C1</t>
  </si>
  <si>
    <t>C2</t>
  </si>
  <si>
    <t>C3</t>
  </si>
  <si>
    <t>C4</t>
  </si>
  <si>
    <t>C5</t>
  </si>
  <si>
    <t>Sys_Time_Minutes_CNT</t>
  </si>
  <si>
    <t>C100</t>
  </si>
  <si>
    <t>Sys_Time_Hours_CNT</t>
  </si>
  <si>
    <t>C101</t>
  </si>
  <si>
    <t>Sys_Time_Repeat_CNT</t>
  </si>
  <si>
    <t>C102</t>
  </si>
  <si>
    <t>MBUS_INIT_DONE</t>
  </si>
  <si>
    <t>MBUS_INIT的Done 状态位</t>
  </si>
  <si>
    <t>MBUS_SLAVE_DONE</t>
  </si>
  <si>
    <t>MBUS_SLAVE Done状态位</t>
  </si>
  <si>
    <t>Local_Start_CMD</t>
  </si>
  <si>
    <t>M2.0</t>
  </si>
  <si>
    <t>本地启动指令</t>
  </si>
  <si>
    <t>Local_Stop_CMD</t>
  </si>
  <si>
    <t>本地停止指令</t>
  </si>
  <si>
    <t>Local_Reset_CMD</t>
  </si>
  <si>
    <t>本地复位指令</t>
  </si>
  <si>
    <t>Remote_Start_CMD</t>
  </si>
  <si>
    <t>M3.0</t>
  </si>
  <si>
    <t>远程启动指令</t>
  </si>
  <si>
    <t>Remote_Stop_CMD</t>
  </si>
  <si>
    <t>远程停止指令</t>
  </si>
  <si>
    <t>Remote_Reset_CMD</t>
  </si>
  <si>
    <t>远程复位指令</t>
  </si>
  <si>
    <t>M4.0</t>
  </si>
  <si>
    <t>系统安全回路检测 标志，如压力、检漏、前火检等</t>
  </si>
  <si>
    <t>MBUS_INIT Error 错误码</t>
  </si>
  <si>
    <t>MBUS_SLAVE Error 错误码</t>
  </si>
  <si>
    <t>T_Purge_Duration</t>
  </si>
  <si>
    <t>吹扫时长定时器</t>
  </si>
  <si>
    <t>T_Ignite_Delay</t>
  </si>
  <si>
    <t>T_VAL_Open_Delay</t>
  </si>
  <si>
    <t>大火阀开启延时定时器</t>
  </si>
  <si>
    <t>母火阀延时打开定时器</t>
  </si>
  <si>
    <t>T_Leak_Step1_Delay</t>
  </si>
  <si>
    <t>检漏第1步延时定时器</t>
  </si>
  <si>
    <t>T_Leak_Step2_Delay</t>
  </si>
  <si>
    <t>检漏第2步延时定时器</t>
  </si>
  <si>
    <t>T_Leak_Step3_Delay</t>
  </si>
  <si>
    <t>检漏第3步延时定时器</t>
  </si>
  <si>
    <t>T_Leak_Step4_Delay</t>
  </si>
  <si>
    <t>检漏第4步延时定时器</t>
  </si>
  <si>
    <t>T_Flame_Pre_Detect</t>
  </si>
  <si>
    <t>前火焰检测延时定时器</t>
  </si>
  <si>
    <t>V0.0</t>
  </si>
  <si>
    <t>空气压力低故障</t>
  </si>
  <si>
    <t>燃气压力高故障</t>
  </si>
  <si>
    <t>燃气压力低故障</t>
  </si>
  <si>
    <t>I_Flame_STS</t>
  </si>
  <si>
    <t>火焰信号</t>
  </si>
  <si>
    <t>启动按钮信号</t>
  </si>
  <si>
    <t>I_Stop_STS</t>
  </si>
  <si>
    <t>停止按钮信号</t>
  </si>
  <si>
    <t>I_Reset_STS</t>
  </si>
  <si>
    <t>V1.0</t>
  </si>
  <si>
    <t>复位按钮信号</t>
  </si>
  <si>
    <t>I_LocalRemote_STS</t>
  </si>
  <si>
    <t>本地、远程信号。1本地、0远程</t>
  </si>
  <si>
    <t>V2.0</t>
  </si>
  <si>
    <t>Q_Valve_Cut_Open</t>
  </si>
  <si>
    <t>主火切断阀打开命令</t>
  </si>
  <si>
    <t>Q_TA_Spark</t>
  </si>
  <si>
    <t>变压器打火指令</t>
  </si>
  <si>
    <t>有火指示灯</t>
  </si>
  <si>
    <t>运行指示灯</t>
  </si>
  <si>
    <t>Q_Valve_Safety_Open</t>
  </si>
  <si>
    <t>安全阀打开命令</t>
  </si>
  <si>
    <t>M_Local_Remote_FLG</t>
  </si>
  <si>
    <t>本地远程标志，1本地，0远程</t>
  </si>
  <si>
    <t>手动升档，触摸屏虚拟按钮</t>
  </si>
  <si>
    <t>手动降档，触摸屏虚拟按钮</t>
  </si>
  <si>
    <t>存储区域</t>
  </si>
  <si>
    <t>示例</t>
  </si>
  <si>
    <t>输入信号（反馈）</t>
  </si>
  <si>
    <t>_STS</t>
  </si>
  <si>
    <t>i0.0 - i1.3</t>
  </si>
  <si>
    <t>Conv1_Motor_Run_STS</t>
  </si>
  <si>
    <t>输出指令（命令）</t>
  </si>
  <si>
    <t>_CMD</t>
  </si>
  <si>
    <t>Q0.0-Q0.7</t>
  </si>
  <si>
    <t>Pump2_Start_CMD</t>
  </si>
  <si>
    <t>中间逻辑标志</t>
  </si>
  <si>
    <t>_FLG</t>
  </si>
  <si>
    <t>M0.0-M19.7</t>
  </si>
  <si>
    <t>M_System_Ready_FLG</t>
  </si>
  <si>
    <t>断电保持标志</t>
  </si>
  <si>
    <t>_RET</t>
  </si>
  <si>
    <t>V_Emergency_Stop_RET</t>
  </si>
  <si>
    <t>报警/故障</t>
  </si>
  <si>
    <t>_ALM</t>
  </si>
  <si>
    <t>M20.0-M31.7</t>
  </si>
  <si>
    <t>Tank3_Temp_High_ALM</t>
  </si>
  <si>
    <t>HMI虚拟按钮</t>
    <phoneticPr fontId="16" type="noConversion"/>
  </si>
  <si>
    <t>_HMIBTN</t>
    <phoneticPr fontId="16" type="noConversion"/>
  </si>
  <si>
    <t>电磁阀</t>
  </si>
  <si>
    <t>TA</t>
  </si>
  <si>
    <t>CONV</t>
  </si>
  <si>
    <t>输送带</t>
  </si>
  <si>
    <t>CONV1_Motor_Start_CMD</t>
  </si>
  <si>
    <t>TANK</t>
  </si>
  <si>
    <t>储罐</t>
  </si>
  <si>
    <t>TANK2_Level_High_ALM</t>
  </si>
  <si>
    <t>MIXR</t>
  </si>
  <si>
    <t>混合器</t>
  </si>
  <si>
    <t>MIXR1_Speed_SET</t>
  </si>
  <si>
    <t>SYS</t>
  </si>
  <si>
    <t>系统级</t>
  </si>
  <si>
    <t>SYS_Auto_Mode_FLG</t>
  </si>
  <si>
    <t>开关量</t>
  </si>
  <si>
    <t>开关量</t>
    <phoneticPr fontId="16" type="noConversion"/>
  </si>
  <si>
    <t>设备域</t>
  </si>
  <si>
    <t>设备域</t>
    <phoneticPr fontId="16" type="noConversion"/>
  </si>
  <si>
    <t>名称</t>
    <phoneticPr fontId="16" type="noConversion"/>
  </si>
  <si>
    <t>代码</t>
    <phoneticPr fontId="16" type="noConversion"/>
  </si>
  <si>
    <t>命名类型</t>
    <phoneticPr fontId="16" type="noConversion"/>
  </si>
  <si>
    <t>命名类型</t>
    <phoneticPr fontId="10" type="noConversion"/>
  </si>
  <si>
    <t>开关量</t>
    <phoneticPr fontId="10" type="noConversion"/>
  </si>
  <si>
    <t>设备域</t>
    <phoneticPr fontId="10" type="noConversion"/>
  </si>
  <si>
    <t>Valve</t>
    <phoneticPr fontId="16" type="noConversion"/>
  </si>
  <si>
    <t>Flame</t>
    <phoneticPr fontId="16" type="noConversion"/>
  </si>
  <si>
    <t>火焰检测器</t>
    <phoneticPr fontId="16" type="noConversion"/>
  </si>
  <si>
    <t>点火变压器</t>
    <phoneticPr fontId="16" type="noConversion"/>
  </si>
  <si>
    <t>实际值</t>
  </si>
  <si>
    <t>数值型</t>
  </si>
  <si>
    <t>数值型</t>
    <phoneticPr fontId="10" type="noConversion"/>
  </si>
  <si>
    <t>V_Furnace_Temp_VAL(VW200)</t>
    <phoneticPr fontId="16" type="noConversion"/>
  </si>
  <si>
    <t>V_Furnace_Temp_SET(VW202)</t>
    <phoneticPr fontId="16" type="noConversion"/>
  </si>
  <si>
    <t>V_Total_Production_VAL(VD300)</t>
    <phoneticPr fontId="16" type="noConversion"/>
  </si>
  <si>
    <t>_VAL</t>
    <phoneticPr fontId="16" type="noConversion"/>
  </si>
  <si>
    <t>设定值</t>
    <phoneticPr fontId="16" type="noConversion"/>
  </si>
  <si>
    <t>_SET</t>
    <phoneticPr fontId="16" type="noConversion"/>
  </si>
  <si>
    <t>累计值</t>
    <phoneticPr fontId="16" type="noConversion"/>
  </si>
  <si>
    <t>_TOTAL</t>
    <phoneticPr fontId="16" type="noConversion"/>
  </si>
  <si>
    <t>说明</t>
    <phoneticPr fontId="16" type="noConversion"/>
  </si>
  <si>
    <t>产量累计值（DWORD）</t>
    <phoneticPr fontId="16" type="noConversion"/>
  </si>
  <si>
    <t>炉温设定值（INT）</t>
    <phoneticPr fontId="16" type="noConversion"/>
  </si>
  <si>
    <t>炉温实际值（INT）</t>
    <phoneticPr fontId="16" type="noConversion"/>
  </si>
  <si>
    <t>M_Manu_TurnUp_HMIBTN</t>
    <phoneticPr fontId="16" type="noConversion"/>
  </si>
  <si>
    <t>Q_Valve_Safety_Open</t>
    <phoneticPr fontId="16" type="noConversion"/>
  </si>
  <si>
    <t>定时器</t>
    <phoneticPr fontId="10" type="noConversion"/>
  </si>
  <si>
    <t>计数器</t>
    <phoneticPr fontId="10" type="noConversion"/>
  </si>
  <si>
    <t>定时器</t>
    <phoneticPr fontId="16" type="noConversion"/>
  </si>
  <si>
    <t>T_[功能]_TMR</t>
    <phoneticPr fontId="16" type="noConversion"/>
  </si>
  <si>
    <t>T_Purge_TMR</t>
    <phoneticPr fontId="16" type="noConversion"/>
  </si>
  <si>
    <t>吹扫定时器</t>
    <phoneticPr fontId="16" type="noConversion"/>
  </si>
  <si>
    <t>状态</t>
    <phoneticPr fontId="16" type="noConversion"/>
  </si>
  <si>
    <t>_STA</t>
    <phoneticPr fontId="16" type="noConversion"/>
  </si>
  <si>
    <t>PID采样时间</t>
    <phoneticPr fontId="4" type="noConversion"/>
  </si>
  <si>
    <t>T_s</t>
    <phoneticPr fontId="4" type="noConversion"/>
  </si>
  <si>
    <t>档位</t>
    <phoneticPr fontId="4" type="noConversion"/>
  </si>
  <si>
    <t>加热：Level、电机：Speed、机械：Gear</t>
    <phoneticPr fontId="4" type="noConversion"/>
  </si>
  <si>
    <t>R_Gas_Level1_SET</t>
  </si>
  <si>
    <t>R_Gas_Level2_SET</t>
  </si>
  <si>
    <t>R_Gas_Level3_SET</t>
  </si>
  <si>
    <t>R_Gas_Level4_SET</t>
  </si>
  <si>
    <t>R_Gas_Level5_SET</t>
  </si>
  <si>
    <t>R_Gas_Level6_SET</t>
  </si>
  <si>
    <t>R_Gas_Level7_SET</t>
  </si>
  <si>
    <t>R_Gas_Level8_SET</t>
  </si>
  <si>
    <t>R_Gas_Level9_SET</t>
  </si>
  <si>
    <t>R_Gas_Level10_SET</t>
  </si>
  <si>
    <t>R_Gas_Level11_SET</t>
  </si>
  <si>
    <t>R_Gas_Level12_SET</t>
  </si>
  <si>
    <t>R_Gas_Level13_SET</t>
  </si>
  <si>
    <t>R_Gas_Level14_SET</t>
  </si>
  <si>
    <t>R_Gas_Level15_SET</t>
  </si>
  <si>
    <t>R_Gas_Level16_SET</t>
  </si>
  <si>
    <t>R_Gas_Level17_SET</t>
  </si>
  <si>
    <t>R_Gas_Level18_SET</t>
  </si>
  <si>
    <t>R_Air_Level1_SET</t>
  </si>
  <si>
    <t>R_Air_Level2_SET</t>
  </si>
  <si>
    <t>R_Air_Level3_SET</t>
  </si>
  <si>
    <t>R_Air_Level4_SET</t>
  </si>
  <si>
    <t>R_Air_Level5_SET</t>
  </si>
  <si>
    <t>R_Air_Level6_SET</t>
  </si>
  <si>
    <t>R_Air_Level7_SET</t>
  </si>
  <si>
    <t>R_Air_Level8_SET</t>
  </si>
  <si>
    <t>R_Air_Level9_SET</t>
  </si>
  <si>
    <t>R_Air_Level10_SET</t>
  </si>
  <si>
    <t>R_Air_Level11_SET</t>
  </si>
  <si>
    <t>R_Air_Level12_SET</t>
  </si>
  <si>
    <t>R_Air_Level13_SET</t>
  </si>
  <si>
    <t>R_Air_Level14_SET</t>
  </si>
  <si>
    <t>R_Air_Level15_SET</t>
  </si>
  <si>
    <t>R_Air_Level16_SET</t>
  </si>
  <si>
    <t>R_Air_Level17_SET</t>
  </si>
  <si>
    <t>R_Air_Level18_SET</t>
  </si>
  <si>
    <t>阶段2温度设定值</t>
  </si>
  <si>
    <t>阶段1温度设定值</t>
  </si>
  <si>
    <t>阶段3温度设定值</t>
  </si>
  <si>
    <t>阶段4温度设定值</t>
  </si>
  <si>
    <t>阶段5温度设定值</t>
  </si>
  <si>
    <t>阶段6温度设定值</t>
  </si>
  <si>
    <t>吹扫时间设定</t>
  </si>
  <si>
    <t>点火延时设定值</t>
  </si>
  <si>
    <t>第1阶段温度时长设定值，小时</t>
  </si>
  <si>
    <t>第2阶段温度时长设定值，小时</t>
  </si>
  <si>
    <t>第3阶段温度时长设定值，小时</t>
  </si>
  <si>
    <t>第4阶段温度时长设定值，小时</t>
  </si>
  <si>
    <t>第5阶段温度时长设定值，小时</t>
  </si>
  <si>
    <t>第6阶段温度时长设定值，小时</t>
  </si>
  <si>
    <t>Stage1_Temp_CT</t>
  </si>
  <si>
    <t>Stage2_Temp_CT</t>
  </si>
  <si>
    <t>Stage3_Temp_CT</t>
  </si>
  <si>
    <t>Stage4_Temp_CT</t>
  </si>
  <si>
    <t>Stage5_Temp_CT</t>
  </si>
  <si>
    <t>Stage6_Temp_CT</t>
  </si>
  <si>
    <t>I_Air_Pres_Low_STS</t>
  </si>
  <si>
    <t>I_Gas_Pres_High_STS</t>
  </si>
  <si>
    <t>I_Gas_Pres_Low_STS</t>
  </si>
  <si>
    <t>I_Run_STS</t>
  </si>
  <si>
    <t>Q_Sys_Alarm_CMD</t>
  </si>
  <si>
    <t>自动/手动切换，触摸屏虚拟按钮，1自动，0手动</t>
  </si>
  <si>
    <t>M_Auto_Temp_FLG</t>
  </si>
  <si>
    <t>自动升温控制标志</t>
  </si>
  <si>
    <t>M_Purge_Display_FLG</t>
  </si>
  <si>
    <t>显示吹扫动画</t>
  </si>
  <si>
    <t>M_SYS_Safety_Pass_FLG</t>
  </si>
  <si>
    <t>启动标志</t>
  </si>
  <si>
    <t>开始吹扫标志</t>
  </si>
  <si>
    <t>开始点火标志</t>
  </si>
  <si>
    <t>M_Ignite_Success_FLG</t>
  </si>
  <si>
    <t>点火成功标志</t>
  </si>
  <si>
    <t>M_Ignite_Failed_ALM</t>
  </si>
  <si>
    <t>M_Flame_Loss_ALM</t>
  </si>
  <si>
    <t>M_DCS_Lock_ALM</t>
  </si>
  <si>
    <t>M_Air_Pres_Low_ALM</t>
  </si>
  <si>
    <t>M_Gas_Pres_High_ALM</t>
  </si>
  <si>
    <t>M_Gas_Pres_Low_ALM</t>
  </si>
  <si>
    <t>空气调节阀故障</t>
  </si>
  <si>
    <t>燃气调节阀故障</t>
  </si>
  <si>
    <t>M_Flame_Pre_ALM</t>
  </si>
  <si>
    <t>点火前发现火焰故障</t>
  </si>
  <si>
    <t>M_Purge_Finish_FLG</t>
  </si>
  <si>
    <t>吹扫结束标志</t>
  </si>
  <si>
    <t>M_Ignite_Ready_FLG</t>
  </si>
  <si>
    <t>点火准备标志</t>
  </si>
  <si>
    <t>M_SYS_Alarm_FLG</t>
  </si>
  <si>
    <t>系统故障标志</t>
  </si>
  <si>
    <t>M_Ignite_BeginTime_FLG</t>
  </si>
  <si>
    <t>点火延时开始</t>
  </si>
  <si>
    <t>M_Temp1_Read_FLG</t>
  </si>
  <si>
    <t>读阶段1温度标志</t>
  </si>
  <si>
    <t>M_Temp2_Read_FLG</t>
  </si>
  <si>
    <t>读阶段2温度标志</t>
  </si>
  <si>
    <t>M_Temp3_Read_FLG</t>
  </si>
  <si>
    <t>读阶段3温度标志</t>
  </si>
  <si>
    <t>M_Temp4_Read_FLG</t>
  </si>
  <si>
    <t>读阶段4温度标志</t>
  </si>
  <si>
    <t>M_Temp5_Read_FLG</t>
  </si>
  <si>
    <t>读阶段5温度标志</t>
  </si>
  <si>
    <t>M_Temp6_Read_FLG</t>
  </si>
  <si>
    <t>读阶段6温度标志</t>
  </si>
  <si>
    <t>自动状态RTU</t>
  </si>
  <si>
    <t>启动状态RTU</t>
  </si>
  <si>
    <t>停止状态RTU</t>
  </si>
  <si>
    <t>V_Remote_Run_CMD</t>
  </si>
  <si>
    <t>V_Remote_Stop_CMD</t>
  </si>
  <si>
    <t>V_Remote_Reset_CMD</t>
  </si>
  <si>
    <t>V_Remote_TurnUp_CMD</t>
  </si>
  <si>
    <t>V_Remote_TurnDown_CMD</t>
  </si>
  <si>
    <t>R_Current_Temp_VAL</t>
  </si>
  <si>
    <t>R_Current_Temp_Display</t>
  </si>
  <si>
    <t>温度HMI显示值</t>
  </si>
  <si>
    <t>燃气阀门开度显示%</t>
  </si>
  <si>
    <t>空气阀门开度显示%</t>
  </si>
  <si>
    <t>R_Temp_Upper_Limit_SET</t>
  </si>
  <si>
    <t>温度上限设定值</t>
  </si>
  <si>
    <t>R_Temp_Lower_Limit_SET</t>
  </si>
  <si>
    <t>温度下限设定值</t>
  </si>
  <si>
    <t>R_Over_Temp_Stop_SET</t>
  </si>
  <si>
    <t>超温停机设定值</t>
  </si>
  <si>
    <t>燃气阀门给定值与反馈值之差，取绝对值</t>
  </si>
  <si>
    <t>空气阀门给定值与反馈值之差，取绝对值</t>
  </si>
  <si>
    <t>R_Gas_DiffAlow_SET</t>
  </si>
  <si>
    <t>R_Air_DiffAlow_SET</t>
  </si>
  <si>
    <t>R_PID_Ts_SET</t>
  </si>
  <si>
    <t>R_PID_Manu_VAL</t>
  </si>
  <si>
    <t>R_Purge_BeginTime_VAL</t>
  </si>
  <si>
    <t>吹扫计时开始_值</t>
  </si>
  <si>
    <t>R_PID_Level_Round_VAL</t>
  </si>
  <si>
    <t>PID输出换算成档位，四舍五入后</t>
  </si>
  <si>
    <t>R_PID_EachLevel_VAL</t>
  </si>
  <si>
    <t>当量_每档</t>
  </si>
  <si>
    <t>R_PID_Level_VAL</t>
  </si>
  <si>
    <t>PID输出换算成档位</t>
  </si>
  <si>
    <t>当前吹扫时长显示值</t>
  </si>
  <si>
    <t>主火阀(切断阀)开启延时设定值</t>
  </si>
  <si>
    <t>燃气1档设定值</t>
  </si>
  <si>
    <t>燃气2档设定值</t>
  </si>
  <si>
    <t>燃气3档设定值</t>
  </si>
  <si>
    <t>燃气4档设定值</t>
  </si>
  <si>
    <t>燃气5档设定值</t>
  </si>
  <si>
    <t>燃气6档设定值</t>
  </si>
  <si>
    <t>燃气7档设定值</t>
  </si>
  <si>
    <t>燃气8档设定值</t>
  </si>
  <si>
    <t>燃气9档设定值</t>
  </si>
  <si>
    <t>燃气10档设定值</t>
  </si>
  <si>
    <t>燃气11档设定值</t>
  </si>
  <si>
    <t>燃气12档设定值</t>
  </si>
  <si>
    <t>燃气13档设定值</t>
  </si>
  <si>
    <t>燃气14档设定值</t>
  </si>
  <si>
    <t>燃气15档设定值</t>
  </si>
  <si>
    <t>燃气16档设定值</t>
  </si>
  <si>
    <t>燃气17档设定值</t>
  </si>
  <si>
    <t>燃气18档设定值</t>
  </si>
  <si>
    <t>空气1档设定值</t>
  </si>
  <si>
    <t>空气2档设定值</t>
  </si>
  <si>
    <t>空气3档设定值</t>
  </si>
  <si>
    <t>空气4档设定值</t>
  </si>
  <si>
    <t>空气5档设定值</t>
  </si>
  <si>
    <t>空气6档设定值</t>
  </si>
  <si>
    <t>空气7档设定值</t>
  </si>
  <si>
    <t>空气8档设定值</t>
  </si>
  <si>
    <t>空气9档设定值</t>
  </si>
  <si>
    <t>空气10档设定值</t>
  </si>
  <si>
    <t>空气11档设定值</t>
  </si>
  <si>
    <t>空气12档设定值</t>
  </si>
  <si>
    <t>空气13档设定值</t>
  </si>
  <si>
    <t>空气14档设定值</t>
  </si>
  <si>
    <t>空气15档设定值</t>
  </si>
  <si>
    <t>空气16档设定值</t>
  </si>
  <si>
    <t>空气17档设定值</t>
  </si>
  <si>
    <t>空气18档设定值</t>
  </si>
  <si>
    <t>VD344</t>
  </si>
  <si>
    <t>VD348</t>
  </si>
  <si>
    <t>VD352</t>
  </si>
  <si>
    <t>VD356</t>
  </si>
  <si>
    <t>VD360</t>
  </si>
  <si>
    <t>VD364</t>
  </si>
  <si>
    <t>VD368</t>
  </si>
  <si>
    <t>VD372</t>
  </si>
  <si>
    <t>VD376</t>
  </si>
  <si>
    <t>VD380</t>
  </si>
  <si>
    <t>VD384</t>
  </si>
  <si>
    <t>VD388</t>
  </si>
  <si>
    <t>VD392</t>
  </si>
  <si>
    <t>VD396</t>
  </si>
  <si>
    <t>VD400</t>
  </si>
  <si>
    <t>VD404</t>
  </si>
  <si>
    <t>VD408</t>
  </si>
  <si>
    <t>VD412</t>
  </si>
  <si>
    <t>VD416</t>
  </si>
  <si>
    <t>VD420</t>
  </si>
  <si>
    <t>VD424</t>
  </si>
  <si>
    <t>VD428</t>
  </si>
  <si>
    <t>VD432</t>
  </si>
  <si>
    <t>VD436</t>
  </si>
  <si>
    <t>VD440</t>
  </si>
  <si>
    <t>VD444</t>
  </si>
  <si>
    <t>VD448</t>
  </si>
  <si>
    <t>VD452</t>
  </si>
  <si>
    <t>VD456</t>
  </si>
  <si>
    <t>VD460</t>
  </si>
  <si>
    <t>VD464</t>
  </si>
  <si>
    <t>VD468</t>
  </si>
  <si>
    <t>VD472</t>
  </si>
  <si>
    <t>VD476</t>
  </si>
  <si>
    <t>VD480</t>
  </si>
  <si>
    <t>VD484</t>
  </si>
  <si>
    <t>VD488</t>
  </si>
  <si>
    <t>VD492</t>
  </si>
  <si>
    <t>VD496</t>
  </si>
  <si>
    <t>M1.0</t>
  </si>
  <si>
    <t>调节阀检测通过标志</t>
  </si>
  <si>
    <t>M_Leak_Exception_FLG</t>
  </si>
  <si>
    <t>检漏程序，第2步检漏异常标志</t>
  </si>
  <si>
    <t>检漏程序，第4步检漏异常标志</t>
  </si>
  <si>
    <t>M_Leak_Pass_FLG</t>
  </si>
  <si>
    <t>检漏程序，检漏通过</t>
  </si>
  <si>
    <t>M_Run_Big_Fire_FLG</t>
  </si>
  <si>
    <t>大火指示，表示大火正常燃烧</t>
  </si>
  <si>
    <t>M10.0</t>
  </si>
  <si>
    <t>M_Manu_TurnUp_CMD</t>
  </si>
  <si>
    <t>M_Manu_TurnDown_CMD</t>
  </si>
  <si>
    <t>M_Auto_Manu_CMD</t>
  </si>
  <si>
    <t>M11.0</t>
  </si>
  <si>
    <t>M_Leak_ValveCut_CMD</t>
  </si>
  <si>
    <t>检漏程序，打开主火阀（切断阀）指令</t>
  </si>
  <si>
    <t>主程序，打开主火阀（切断阀）</t>
  </si>
  <si>
    <t>M_Leak_ValveSafety_CMD</t>
  </si>
  <si>
    <t>检漏程序，打开安全阀 指令</t>
  </si>
  <si>
    <t>主程序，打开安全阀 指令</t>
  </si>
  <si>
    <t>M20.0</t>
  </si>
  <si>
    <t>M20.1</t>
  </si>
  <si>
    <t>M20.2</t>
  </si>
  <si>
    <t>M20.3</t>
  </si>
  <si>
    <t>DCS安全联锁故障</t>
  </si>
  <si>
    <t>M20.4</t>
  </si>
  <si>
    <t>M20.5</t>
  </si>
  <si>
    <t>M20.6</t>
  </si>
  <si>
    <t>M20.7</t>
  </si>
  <si>
    <t>V_PID_ErrorCode</t>
  </si>
  <si>
    <t>VB800</t>
  </si>
  <si>
    <t>PID 控制错误码</t>
  </si>
  <si>
    <t>V_MBUS_INIT_Error</t>
  </si>
  <si>
    <t>V_MBUS_SLAVE_Error</t>
  </si>
  <si>
    <t>VB802</t>
  </si>
  <si>
    <t>B_Leak_Step_Num</t>
  </si>
  <si>
    <t>VB804</t>
  </si>
  <si>
    <t>检漏步数，第1、2、3、4步</t>
  </si>
  <si>
    <t>VB806</t>
  </si>
  <si>
    <t>检漏状态，0:停止检漏 1:检漏中 2:检漏完成</t>
  </si>
  <si>
    <t>B_ValveLift_Status</t>
  </si>
  <si>
    <t>VB808</t>
  </si>
  <si>
    <t>调节阀检测状态，0停止检测、1检测中、2检测完成</t>
  </si>
  <si>
    <t>VD20</t>
  </si>
  <si>
    <t>VD24</t>
  </si>
  <si>
    <t>VD32</t>
  </si>
  <si>
    <t>VD36</t>
  </si>
  <si>
    <t>VD40</t>
  </si>
  <si>
    <t>VD44</t>
  </si>
  <si>
    <t>VD48</t>
  </si>
  <si>
    <t>当前燃气给定值</t>
  </si>
  <si>
    <t>VD52</t>
  </si>
  <si>
    <t>当前空气给定值</t>
  </si>
  <si>
    <t>R_PID_Temp_VAL</t>
  </si>
  <si>
    <t>VD56</t>
  </si>
  <si>
    <t>PID当前目标温度</t>
  </si>
  <si>
    <t>VD60</t>
  </si>
  <si>
    <t>VD64</t>
  </si>
  <si>
    <t>VD68</t>
  </si>
  <si>
    <t>VD72</t>
  </si>
  <si>
    <t>VD76</t>
  </si>
  <si>
    <t>R_PID_Output_VAL</t>
  </si>
  <si>
    <t>VD80</t>
  </si>
  <si>
    <t>转换为实数后的PID输出值</t>
  </si>
  <si>
    <t>VD84</t>
  </si>
  <si>
    <t>VD308</t>
  </si>
  <si>
    <t>VD312</t>
  </si>
  <si>
    <t>燃气偏差允许值设定</t>
  </si>
  <si>
    <t>VD316</t>
  </si>
  <si>
    <t>空气偏差允许值设定</t>
  </si>
  <si>
    <t>VD320</t>
  </si>
  <si>
    <t>吹扫空气阀开度设定值</t>
  </si>
  <si>
    <t>R_PID_D_SET</t>
  </si>
  <si>
    <t>VD324</t>
  </si>
  <si>
    <t>PID微分_D 设定值</t>
  </si>
  <si>
    <t>R_PID_P_SET</t>
  </si>
  <si>
    <t>VD328</t>
  </si>
  <si>
    <t>PID增益_P 设定值</t>
  </si>
  <si>
    <t>R_PID_I_SET</t>
  </si>
  <si>
    <t>VD332</t>
  </si>
  <si>
    <t>PID积分_I 设定值</t>
  </si>
  <si>
    <t>VD336</t>
  </si>
  <si>
    <t>PID采样时间设定值</t>
  </si>
  <si>
    <t>VD340</t>
  </si>
  <si>
    <t>燃气停机档设定值</t>
  </si>
  <si>
    <t>燃气点火档设定值</t>
  </si>
  <si>
    <t>空气停机档设定值</t>
  </si>
  <si>
    <t>空气点火档设定值</t>
  </si>
  <si>
    <t>R_Remote_Temp_VAL</t>
  </si>
  <si>
    <t>R_Remote_Level_VAL</t>
  </si>
  <si>
    <t>W_Purge_Time_VAL</t>
  </si>
  <si>
    <t>W_PID_Output_VAL</t>
  </si>
  <si>
    <t>W_Stage1_Temp_Time_VAL</t>
  </si>
  <si>
    <t>第1阶段温度保持时长显示，分钟</t>
  </si>
  <si>
    <t>W_Stage2_Temp_Time_VAL</t>
  </si>
  <si>
    <t>第2阶段温度保持时长显示，分钟</t>
  </si>
  <si>
    <t>W_Stage3_Temp_Time_VAL</t>
  </si>
  <si>
    <t>第3阶段温度保持时长显示，分钟</t>
  </si>
  <si>
    <t>W_Stage4_Temp_Time_VAL</t>
  </si>
  <si>
    <t>第4阶段温度保持时长显示，分钟</t>
  </si>
  <si>
    <t>W_Stage5_Temp_Time_VAL</t>
  </si>
  <si>
    <t>第5阶段温度保持时长显示，分钟</t>
  </si>
  <si>
    <t>W_Stage6_Temp_Time_VAL</t>
  </si>
  <si>
    <t>第6阶段温度保持时长显示，分钟</t>
  </si>
  <si>
    <t>W_Sys_Time_Hour_VAL</t>
  </si>
  <si>
    <t>VW104</t>
  </si>
  <si>
    <t>HMI显示运行小时</t>
  </si>
  <si>
    <t>W_Sys_Time_Minute_VAL</t>
  </si>
  <si>
    <t>HMI显示运行分钟</t>
  </si>
  <si>
    <t>W_Purge_Time_SET</t>
  </si>
  <si>
    <t>VW528</t>
  </si>
  <si>
    <t>W_ValveCut_Delay_SET</t>
  </si>
  <si>
    <t>W_Stage1_Temp_Time_SET</t>
  </si>
  <si>
    <t>VW532</t>
  </si>
  <si>
    <t>W_Stage2_Temp_Time_SET</t>
  </si>
  <si>
    <t>W_Stage3_Temp_Time_SET</t>
  </si>
  <si>
    <t>VW536</t>
  </si>
  <si>
    <t>W_Stage4_Temp_Time_SET</t>
  </si>
  <si>
    <t>W_Stage5_Temp_Time_SET</t>
  </si>
  <si>
    <t>VW540</t>
  </si>
  <si>
    <t>W_Stage6_Temp_Time_SET</t>
  </si>
  <si>
    <t>W_PreFlame_Time_SET</t>
  </si>
  <si>
    <t>VW544</t>
  </si>
  <si>
    <t>AQW16</t>
  </si>
  <si>
    <t>燃气调节阀 执行输出</t>
  </si>
  <si>
    <t>AQW18</t>
  </si>
  <si>
    <t>空气调节阀 执行输出</t>
  </si>
  <si>
    <t>AIW18</t>
  </si>
  <si>
    <t>燃气调节阀  反馈</t>
  </si>
  <si>
    <t>AIW20</t>
  </si>
  <si>
    <t>空气调节阀  反馈</t>
  </si>
  <si>
    <t>R_Stage2_Temp_SET</t>
  </si>
  <si>
    <t>R_Stage3_Temp_SET</t>
  </si>
  <si>
    <t>R_Stage4_Temp_SET</t>
  </si>
  <si>
    <t>R_Stage5_Temp_SET</t>
  </si>
  <si>
    <t>R_Stage6_Temp_SET</t>
  </si>
  <si>
    <t>W_Ignite_Delay_SET</t>
  </si>
  <si>
    <t>VW548</t>
  </si>
  <si>
    <t>VW552</t>
  </si>
  <si>
    <t>VW556</t>
  </si>
  <si>
    <t>VW560</t>
  </si>
  <si>
    <t>VW564</t>
  </si>
  <si>
    <t>VW568</t>
  </si>
  <si>
    <t>M_Safety_Check_FLG</t>
  </si>
  <si>
    <t>安全自检通过标志：检漏通过、空气压力正常、燃气压力正常，前火检正常</t>
  </si>
  <si>
    <t>M_Sys_Run_FLG</t>
  </si>
  <si>
    <t>M_Purge_Begin_FLG</t>
  </si>
  <si>
    <t>M_Ignite_Begin_FLG</t>
  </si>
  <si>
    <t>T_TA_Spark_Time</t>
  </si>
  <si>
    <t>高压包打火时长定时器</t>
  </si>
  <si>
    <t>T_Ignite_ValveGo_Delay</t>
  </si>
  <si>
    <t>T_Purge_ValveOpenDelay</t>
  </si>
  <si>
    <t>吹扫 调节阀开启延时定时器</t>
  </si>
  <si>
    <t>点火阀Ignite打开命令</t>
  </si>
  <si>
    <t>Q_SYS_Flame_Light</t>
  </si>
  <si>
    <t>Q_SYS_Run_Light</t>
  </si>
  <si>
    <t>Q_SYS_Stop_Light</t>
  </si>
  <si>
    <t>B_Leak_Status</t>
  </si>
  <si>
    <t>R_Level_Total_SET</t>
  </si>
  <si>
    <t>R_Gas_Level_Stop_SET</t>
  </si>
  <si>
    <t>R_Gas_Level_Ignite_SET</t>
  </si>
  <si>
    <t>R_Air_Level_Stop_SET</t>
  </si>
  <si>
    <t>R_Air_Level_Ignite_SET</t>
  </si>
  <si>
    <t>R_Stage1_Temp_SET</t>
  </si>
  <si>
    <t>W_ValveDetect_Time_SET</t>
  </si>
  <si>
    <t>调节阀检测时长设定值</t>
  </si>
  <si>
    <t>W_Ignite_Spark_Time_SET</t>
  </si>
  <si>
    <t>高压包打火时长设定值</t>
  </si>
  <si>
    <t>VW572</t>
  </si>
  <si>
    <t>点火阀开启延时设定值</t>
  </si>
  <si>
    <t>M_Valve_Pass_FLG</t>
  </si>
  <si>
    <t>符号长度</t>
    <phoneticPr fontId="19" type="noConversion"/>
  </si>
  <si>
    <t>AIW_ValveGas_FB</t>
  </si>
  <si>
    <t>AIW_ValveAir_FB</t>
  </si>
  <si>
    <t>AQW_ValveGas_EXE</t>
  </si>
  <si>
    <t>AQW_ValveAir_EXE</t>
  </si>
  <si>
    <t>M_Valve_Air_ALM</t>
  </si>
  <si>
    <t>M_Valve_Gas_ALM</t>
  </si>
  <si>
    <t>T_Valve_Ignite_Delay</t>
  </si>
  <si>
    <t>T_Valve_Control_Detect</t>
  </si>
  <si>
    <t>点火位置，调节阀走至点火位置延时</t>
  </si>
  <si>
    <t>Q_Valve_Ignite_Open</t>
  </si>
  <si>
    <t>R_ValveLift_Gas_VAL_Per</t>
  </si>
  <si>
    <t>R_ValveLift_Air_VAL_Per</t>
  </si>
  <si>
    <t>R_ValveLift_Gas_VAL</t>
  </si>
  <si>
    <t>R_ValveLift_Air_VAL</t>
  </si>
  <si>
    <t>R_Purge_Valve_Air_SET</t>
  </si>
  <si>
    <t>W_Valve_Ignite_Time_SET</t>
  </si>
  <si>
    <t>间隔校验</t>
    <phoneticPr fontId="19" type="noConversion"/>
  </si>
  <si>
    <t>VB810</t>
  </si>
  <si>
    <t>V0.1</t>
    <phoneticPr fontId="19" type="noConversion"/>
  </si>
  <si>
    <t>VW576</t>
  </si>
  <si>
    <t>T_Flame_Loss_Delay</t>
  </si>
  <si>
    <t>火焰丢失延时定时器</t>
  </si>
  <si>
    <t>T_Flame_Build_Delay</t>
  </si>
  <si>
    <t>火焰建立延时定时器</t>
  </si>
  <si>
    <t>DI_Current_Temp_VAL</t>
  </si>
  <si>
    <t>当前温度（长整型）数据来自DCS</t>
  </si>
  <si>
    <t>VD88</t>
  </si>
  <si>
    <t>当前温度（实数）数据来自DCS</t>
  </si>
  <si>
    <t>W_Flame_Build_Time_SET</t>
  </si>
  <si>
    <t>VW580</t>
  </si>
  <si>
    <t>火焰建立延时时长设定值</t>
  </si>
  <si>
    <t>W_Flame_Loss_Time_SET</t>
  </si>
  <si>
    <t>VW584</t>
  </si>
  <si>
    <t>火焰丢失延时时长设定值，建议1~3秒</t>
  </si>
  <si>
    <t>VW1898</t>
  </si>
  <si>
    <t>_EXE</t>
    <phoneticPr fontId="16" type="noConversion"/>
  </si>
  <si>
    <t>执行</t>
    <phoneticPr fontId="16" type="noConversion"/>
  </si>
  <si>
    <t>符号</t>
    <phoneticPr fontId="19" type="noConversion"/>
  </si>
  <si>
    <t>类型</t>
    <phoneticPr fontId="19" type="noConversion"/>
  </si>
  <si>
    <t>空气低压开关</t>
    <phoneticPr fontId="19" type="noConversion"/>
  </si>
  <si>
    <t>I0.1</t>
    <phoneticPr fontId="19" type="noConversion"/>
  </si>
  <si>
    <t>I_Air_Pres_Low_STS</t>
    <phoneticPr fontId="19" type="noConversion"/>
  </si>
  <si>
    <t>DI</t>
    <phoneticPr fontId="19" type="noConversion"/>
  </si>
  <si>
    <t>启动按钮</t>
    <phoneticPr fontId="19" type="noConversion"/>
  </si>
  <si>
    <t>停止按钮</t>
    <phoneticPr fontId="19" type="noConversion"/>
  </si>
  <si>
    <t>复位按钮</t>
    <phoneticPr fontId="19" type="noConversion"/>
  </si>
  <si>
    <t>本地远程旋钮</t>
    <phoneticPr fontId="19" type="noConversion"/>
  </si>
  <si>
    <t>I0.2</t>
    <phoneticPr fontId="19" type="noConversion"/>
  </si>
  <si>
    <t>I0.3</t>
    <phoneticPr fontId="19" type="noConversion"/>
  </si>
  <si>
    <t>I0.5</t>
    <phoneticPr fontId="19" type="noConversion"/>
  </si>
  <si>
    <t>I0.6</t>
    <phoneticPr fontId="19" type="noConversion"/>
  </si>
  <si>
    <t>I0.7</t>
    <phoneticPr fontId="19" type="noConversion"/>
  </si>
  <si>
    <t>I1.0</t>
    <phoneticPr fontId="19" type="noConversion"/>
  </si>
  <si>
    <t>I1.1</t>
    <phoneticPr fontId="19" type="noConversion"/>
  </si>
  <si>
    <t>V0.5</t>
    <phoneticPr fontId="19" type="noConversion"/>
  </si>
  <si>
    <t>备注</t>
    <phoneticPr fontId="19" type="noConversion"/>
  </si>
  <si>
    <t>有信号表示探测到火焰</t>
    <phoneticPr fontId="19" type="noConversion"/>
  </si>
  <si>
    <t>有信号表示故障</t>
    <phoneticPr fontId="19" type="noConversion"/>
  </si>
  <si>
    <t>有输入启动</t>
    <phoneticPr fontId="19" type="noConversion"/>
  </si>
  <si>
    <t>有输入停止</t>
    <phoneticPr fontId="19" type="noConversion"/>
  </si>
  <si>
    <t>有输入复位</t>
    <phoneticPr fontId="19" type="noConversion"/>
  </si>
  <si>
    <t>点火变压器</t>
  </si>
  <si>
    <t>安全阀V1</t>
  </si>
  <si>
    <t>DO</t>
    <phoneticPr fontId="19" type="noConversion"/>
  </si>
  <si>
    <t>V2.0</t>
    <phoneticPr fontId="19" type="noConversion"/>
  </si>
  <si>
    <t>现场设备</t>
    <phoneticPr fontId="19" type="noConversion"/>
  </si>
  <si>
    <t>点火阀</t>
    <phoneticPr fontId="19" type="noConversion"/>
  </si>
  <si>
    <t>主火阀V2</t>
    <phoneticPr fontId="19" type="noConversion"/>
  </si>
  <si>
    <t>有输入本地
无输入远程</t>
    <phoneticPr fontId="19" type="noConversion"/>
  </si>
  <si>
    <t>燃气高压开关</t>
    <phoneticPr fontId="19" type="noConversion"/>
  </si>
  <si>
    <t>燃气低压开关</t>
    <phoneticPr fontId="19" type="noConversion"/>
  </si>
  <si>
    <t>火焰探测器</t>
    <phoneticPr fontId="19" type="noConversion"/>
  </si>
  <si>
    <t>AIW</t>
    <phoneticPr fontId="19" type="noConversion"/>
  </si>
  <si>
    <t>AQW</t>
    <phoneticPr fontId="19" type="noConversion"/>
  </si>
  <si>
    <t xml:space="preserve"> 4-20ma 模拟量</t>
    <phoneticPr fontId="19" type="noConversion"/>
  </si>
  <si>
    <t>燃气调节阀 反馈</t>
    <phoneticPr fontId="19" type="noConversion"/>
  </si>
  <si>
    <t>空气调节阀 反馈</t>
    <phoneticPr fontId="19" type="noConversion"/>
  </si>
  <si>
    <t>燃气调节阀 执行</t>
    <phoneticPr fontId="19" type="noConversion"/>
  </si>
  <si>
    <t>空气调节阀 执行</t>
    <phoneticPr fontId="19" type="noConversion"/>
  </si>
  <si>
    <t xml:space="preserve"> 4-21ma 模拟量</t>
  </si>
  <si>
    <t xml:space="preserve"> 4-22ma 模拟量</t>
  </si>
  <si>
    <t xml:space="preserve"> 4-23ma 模拟量</t>
  </si>
  <si>
    <t>检漏异常报警</t>
  </si>
  <si>
    <t>从站 HoldStar=500</t>
    <phoneticPr fontId="4" type="noConversion"/>
  </si>
  <si>
    <t>Modbus主站地址</t>
    <phoneticPr fontId="4" type="noConversion"/>
  </si>
  <si>
    <t>从站 HoldStar=1500</t>
    <phoneticPr fontId="4" type="noConversion"/>
  </si>
  <si>
    <t>V1620.0</t>
    <phoneticPr fontId="4" type="noConversion"/>
  </si>
  <si>
    <t>V1620.1</t>
  </si>
  <si>
    <t>V1620.2</t>
  </si>
  <si>
    <t>V1620.3</t>
  </si>
  <si>
    <t>V1620.4</t>
  </si>
  <si>
    <t>V1620.5</t>
  </si>
  <si>
    <t>V1620.6</t>
  </si>
  <si>
    <t>V1620.7</t>
  </si>
  <si>
    <t>V1621.0</t>
  </si>
  <si>
    <t>V1621.1</t>
  </si>
  <si>
    <t>V_Remote_Alarm_Status</t>
  </si>
  <si>
    <t>故障状态RTU</t>
  </si>
  <si>
    <t>V_Remote_Auto_Status</t>
  </si>
  <si>
    <t>V_Remote_Run_Status</t>
  </si>
  <si>
    <t>V_Remote_Stop_Status</t>
  </si>
  <si>
    <t>V_Local_Remote_Status</t>
  </si>
  <si>
    <t>VW_Remote_Temp_VAL</t>
    <phoneticPr fontId="4" type="noConversion"/>
  </si>
  <si>
    <t>本地远程状态RTU</t>
    <phoneticPr fontId="4" type="noConversion"/>
  </si>
  <si>
    <t>远程启动RTU</t>
    <phoneticPr fontId="4" type="noConversion"/>
  </si>
  <si>
    <t>远程停止RTU</t>
    <phoneticPr fontId="4" type="noConversion"/>
  </si>
  <si>
    <t>远程复位RTU</t>
    <phoneticPr fontId="4" type="noConversion"/>
  </si>
  <si>
    <t>远程升档RTU</t>
    <phoneticPr fontId="4" type="noConversion"/>
  </si>
  <si>
    <t>远程降档RTU</t>
    <phoneticPr fontId="4" type="noConversion"/>
  </si>
  <si>
    <t>空气调节阀开度RTU</t>
  </si>
  <si>
    <t>空气调节阀开度RTU</t>
    <phoneticPr fontId="4" type="noConversion"/>
  </si>
  <si>
    <t>燃气调节阀开度RTU</t>
  </si>
  <si>
    <t>燃气调节阀开度RTU</t>
    <phoneticPr fontId="4" type="noConversion"/>
  </si>
  <si>
    <t>当前温度RTU</t>
    <phoneticPr fontId="4" type="noConversion"/>
  </si>
  <si>
    <t>当前档位RTU</t>
    <phoneticPr fontId="4" type="noConversion"/>
  </si>
  <si>
    <t>目标温度RTU</t>
    <phoneticPr fontId="4" type="noConversion"/>
  </si>
  <si>
    <t>备注</t>
    <phoneticPr fontId="4" type="noConversion"/>
  </si>
  <si>
    <t>VD1640</t>
  </si>
  <si>
    <t>VD1640</t>
    <phoneticPr fontId="4" type="noConversion"/>
  </si>
  <si>
    <t>VD1644</t>
  </si>
  <si>
    <t>VD1644</t>
    <phoneticPr fontId="4" type="noConversion"/>
  </si>
  <si>
    <t>VD1652</t>
  </si>
  <si>
    <t>VD1652</t>
    <phoneticPr fontId="4" type="noConversion"/>
  </si>
  <si>
    <t>VD1880</t>
  </si>
  <si>
    <t>VD1880</t>
    <phoneticPr fontId="4" type="noConversion"/>
  </si>
  <si>
    <t>R_Remote_Air_VAL</t>
  </si>
  <si>
    <t>R_Remote_Air_VAL</t>
    <phoneticPr fontId="4" type="noConversion"/>
  </si>
  <si>
    <t>R_Remote_Gas_VAL</t>
  </si>
  <si>
    <t>R_Remote_Gas_VAL</t>
    <phoneticPr fontId="4" type="noConversion"/>
  </si>
  <si>
    <t>R_Remote_Level_VAL</t>
    <phoneticPr fontId="4" type="noConversion"/>
  </si>
  <si>
    <t>R_Remote_Temp_SET</t>
  </si>
  <si>
    <t>R_Remote_Temp_SET</t>
    <phoneticPr fontId="4" type="noConversion"/>
  </si>
  <si>
    <t>当前管道空气压力</t>
    <phoneticPr fontId="4" type="noConversion"/>
  </si>
  <si>
    <t>DCS 通过 Modbus 传送至PLC</t>
    <phoneticPr fontId="4" type="noConversion"/>
  </si>
  <si>
    <t>DCS端 显示</t>
    <phoneticPr fontId="4" type="noConversion"/>
  </si>
  <si>
    <t>DCS端 操作</t>
    <phoneticPr fontId="4" type="noConversion"/>
  </si>
  <si>
    <t>VW_Remote_Air_P_VAL</t>
    <phoneticPr fontId="4" type="noConversion"/>
  </si>
  <si>
    <t>VW1918</t>
  </si>
  <si>
    <t>阶段升温一计数器，分钟计数</t>
  </si>
  <si>
    <t>阶段升温二计数器，分钟计数</t>
  </si>
  <si>
    <t>阶段升温三计数器，分钟计数</t>
  </si>
  <si>
    <t>阶段升温四计数器，分钟计数</t>
  </si>
  <si>
    <t>阶段升温五计数器，分钟计数</t>
  </si>
  <si>
    <t>阶段升温六计数器，分钟计数</t>
  </si>
  <si>
    <t>系统运行时长计数器，分钟</t>
  </si>
  <si>
    <t>系统运行时长计数器，小时</t>
  </si>
  <si>
    <t>系统运行时长轮数计数器，超过32767小时后，该轮数加1，小时归0</t>
  </si>
  <si>
    <t>M_Valve_ALM_FLG</t>
  </si>
  <si>
    <t>调节阀检测故障标志</t>
  </si>
  <si>
    <t>M_TA_Spark_FLG</t>
  </si>
  <si>
    <t>变压器打火标志</t>
  </si>
  <si>
    <t>M_Valve_Ignite_OPEN_FLG</t>
  </si>
  <si>
    <t>点火阀开启标志</t>
  </si>
  <si>
    <t>Remote_TurnUP_CMD</t>
  </si>
  <si>
    <t>远程升档指令</t>
  </si>
  <si>
    <t>Remote_TurnDown_CMD</t>
  </si>
  <si>
    <t>远程降档指令</t>
  </si>
  <si>
    <t>Local_TurnUP_CMD</t>
  </si>
  <si>
    <t>本地升档指令</t>
  </si>
  <si>
    <t>Local_TurnDown_CMD</t>
  </si>
  <si>
    <t>M12.0</t>
  </si>
  <si>
    <t>本地降档指令</t>
  </si>
  <si>
    <t>M_Leak_Start_CMD</t>
  </si>
  <si>
    <t>手动检漏 虚拟按钮</t>
  </si>
  <si>
    <t>M_Valve_Detect_CMD</t>
  </si>
  <si>
    <t>手动调节阀检测 虚拟按钮</t>
  </si>
  <si>
    <t>M_Leak_Exception2_ALM</t>
  </si>
  <si>
    <t>M21.0</t>
  </si>
  <si>
    <t>M_Leak_Exception4_ALM</t>
  </si>
  <si>
    <t>M21.1</t>
  </si>
  <si>
    <t>M21.2</t>
  </si>
  <si>
    <t>T_Level_Interval</t>
  </si>
  <si>
    <t>升降档间隔定时器</t>
  </si>
  <si>
    <t>调节阀检测定时器</t>
  </si>
  <si>
    <t>I_DCS_Abandon</t>
  </si>
  <si>
    <t>I_DCS安全联锁，不用</t>
  </si>
  <si>
    <t>I_JES258_Alrm_Abandon</t>
  </si>
  <si>
    <t>I_JES258故障不用</t>
  </si>
  <si>
    <t>Q_Sys_Alarm</t>
  </si>
  <si>
    <t>系统报警输出指令，蜂鸣器</t>
  </si>
  <si>
    <t>Q_Valve_Ignite</t>
  </si>
  <si>
    <t>Q_Valve_Cut</t>
  </si>
  <si>
    <t>Q_Valve_Safety</t>
  </si>
  <si>
    <t>V1620.0</t>
  </si>
  <si>
    <t>本地远程状态RTU</t>
  </si>
  <si>
    <t>远程启动RTU</t>
  </si>
  <si>
    <t>远程停止RTU</t>
  </si>
  <si>
    <t>远程复位RTU</t>
  </si>
  <si>
    <t>远程升档RTU</t>
  </si>
  <si>
    <t>远程降档RTU</t>
  </si>
  <si>
    <t>R_Valve_Gas_DIFF_ABS</t>
  </si>
  <si>
    <t>R_Valve_Air_DIFF_ABS</t>
  </si>
  <si>
    <t>R_Current_Level_VAL</t>
  </si>
  <si>
    <t>当前档位值</t>
  </si>
  <si>
    <t>R_Valve_Gas_DIFF_VAL</t>
  </si>
  <si>
    <t>VD92</t>
  </si>
  <si>
    <t>燃气阀门给定值与反馈值之差</t>
  </si>
  <si>
    <t>R_Valve_Air_DIFF_VAL</t>
  </si>
  <si>
    <t>VD96</t>
  </si>
  <si>
    <t>空气阀门给定值与反馈值之差</t>
  </si>
  <si>
    <t>VW108</t>
  </si>
  <si>
    <t>VW112</t>
  </si>
  <si>
    <t>VW116</t>
  </si>
  <si>
    <t>VW120</t>
  </si>
  <si>
    <t>VW124</t>
  </si>
  <si>
    <t>VW128</t>
  </si>
  <si>
    <t>VW132</t>
  </si>
  <si>
    <t>VW136</t>
  </si>
  <si>
    <t>当前温度RTU</t>
  </si>
  <si>
    <t>地址</t>
    <phoneticPr fontId="19" type="noConversion"/>
  </si>
  <si>
    <t>映射</t>
    <phoneticPr fontId="19" type="noConversion"/>
  </si>
  <si>
    <t>报警蜂鸣器</t>
    <phoneticPr fontId="19" type="noConversion"/>
  </si>
  <si>
    <t>VW814</t>
  </si>
  <si>
    <t>VW816</t>
  </si>
  <si>
    <t>系统状态时间</t>
  </si>
  <si>
    <t>预期结果</t>
  </si>
  <si>
    <t>实测结果</t>
  </si>
  <si>
    <t>☐ 通过</t>
  </si>
  <si>
    <t>异常</t>
  </si>
  <si>
    <t>吹扫</t>
  </si>
  <si>
    <t>点火准备</t>
  </si>
  <si>
    <t>高压放电，持续【打火时长】秒时间，火焰稳定超过2秒</t>
  </si>
  <si>
    <t>点火成功，转入小火运行</t>
  </si>
  <si>
    <t>高压放电打火结束，没建立火焰或火焰无法稳定【火焰建立时长】1秒以上，点火失败</t>
  </si>
  <si>
    <t>报警：点火失败</t>
  </si>
  <si>
    <t>火焰丢失</t>
  </si>
  <si>
    <t>正常运行中，火焰丢失超过2【火焰丢失延时】秒，报警</t>
  </si>
  <si>
    <t>报警：火焰丢失</t>
  </si>
  <si>
    <t>主火运行</t>
  </si>
  <si>
    <t>开启主火阀V2、安全阀V1</t>
  </si>
  <si>
    <t>阀正常开启</t>
  </si>
  <si>
    <t>调节当前温度为超过停机温度</t>
  </si>
  <si>
    <t>手动模式</t>
  </si>
  <si>
    <t>手动模式按屏幕上增档、减档</t>
  </si>
  <si>
    <t>档位随增减档而变动</t>
  </si>
  <si>
    <t>自动模式</t>
  </si>
  <si>
    <t>自动模式升降档由PID控制，改变当前温度，观察档位变化情况</t>
  </si>
  <si>
    <t>随温度升高而降档</t>
  </si>
  <si>
    <t>阶段升温</t>
  </si>
  <si>
    <t>观察目标温度是否按照设定的温度变化</t>
  </si>
  <si>
    <t>会变化</t>
  </si>
  <si>
    <t>485通讯</t>
  </si>
  <si>
    <t>能看到</t>
  </si>
  <si>
    <t>本地_远程</t>
  </si>
  <si>
    <t>本地_远程互斥</t>
  </si>
  <si>
    <t>观察远程是否能正常看到设备状态
故障状态、自动状态、启动状态、停止状态、远程状态
空气调节阀开度、燃气调节阀开度、当前温度、当前档位、PID温度（阶段6）</t>
    <phoneticPr fontId="30" type="noConversion"/>
  </si>
  <si>
    <t>切换本地远程旋钮
操作 启动、停止、复位</t>
    <phoneticPr fontId="30" type="noConversion"/>
  </si>
  <si>
    <t>正常</t>
  </si>
  <si>
    <t>正常</t>
    <phoneticPr fontId="30" type="noConversion"/>
  </si>
  <si>
    <t>项目</t>
    <phoneticPr fontId="30" type="noConversion"/>
  </si>
  <si>
    <t>C_Leak_CountDown_CT</t>
  </si>
  <si>
    <t>C103</t>
  </si>
  <si>
    <t>检漏倒计时 计数器</t>
  </si>
  <si>
    <t>C_Valve_Detect_CT</t>
  </si>
  <si>
    <t>C104</t>
  </si>
  <si>
    <t>调节阀检测倒计时 计数器</t>
  </si>
  <si>
    <t>C_Purge_CountDown_CT</t>
  </si>
  <si>
    <t>C105</t>
  </si>
  <si>
    <t>吹扫倒计时 计数器</t>
  </si>
  <si>
    <t>C_Ignite_CountDown_CT</t>
  </si>
  <si>
    <t>C106</t>
  </si>
  <si>
    <t>点火 倒计时 计数器</t>
  </si>
  <si>
    <t>M_Over_Temp_FLG</t>
  </si>
  <si>
    <t>当前温度超过停机温度 标志，此时关大火</t>
  </si>
  <si>
    <t>M_Temp_Error_FLG</t>
  </si>
  <si>
    <t>温度错误，DCS传送温度数据有误，请</t>
  </si>
  <si>
    <t>M_Sys_Detect_PASS_FLG</t>
  </si>
  <si>
    <t>系统预检通过标志</t>
  </si>
  <si>
    <t>M_Leak_Tips_FLG</t>
  </si>
  <si>
    <t>检漏提示标志</t>
  </si>
  <si>
    <t>M_Valve_Tips_FLG</t>
  </si>
  <si>
    <t>调节阀检测过程中，禁止启动，点启动按钮，弹窗提醒</t>
  </si>
  <si>
    <t>M_Temp_Error_Tips_FLG</t>
  </si>
  <si>
    <t>温度错误，提示用户</t>
  </si>
  <si>
    <t>M_ValveCut_EXE</t>
  </si>
  <si>
    <t>M_ValveSafety_EXE</t>
  </si>
  <si>
    <t>M_Open_Valve_Big_CMD</t>
  </si>
  <si>
    <t>手动开主火 虚拟按钮</t>
  </si>
  <si>
    <t>点火失败报警</t>
  </si>
  <si>
    <t>点火延时定时器，从调节阀走到位到高压包放电之间的时间间隔</t>
  </si>
  <si>
    <t>T_Leak_Total_Time</t>
  </si>
  <si>
    <t>检漏总时长定时器</t>
  </si>
  <si>
    <t>T_Over_Temp_Delay_Time</t>
  </si>
  <si>
    <t>超温 超过停机温度延时定时器</t>
  </si>
  <si>
    <t>T_Under_Temp_Delay_Time</t>
  </si>
  <si>
    <t>超温 低于开机温度延时定时器</t>
  </si>
  <si>
    <t>B_Ignate_Backup_Status</t>
  </si>
  <si>
    <t>VB812</t>
  </si>
  <si>
    <t>0正常；1点火备用，取消前火检</t>
  </si>
  <si>
    <t>R_Over_Temp_Open_VAL</t>
  </si>
  <si>
    <t>VD100</t>
  </si>
  <si>
    <t>温控开机温度 = 停机温度 - 超温回差值</t>
  </si>
  <si>
    <t>DI_ValveLift_Air_Per</t>
  </si>
  <si>
    <t>VD146</t>
  </si>
  <si>
    <t>空气调节阀 开度 整数值 %</t>
  </si>
  <si>
    <t>DI_ValveLift_Gas_Per</t>
  </si>
  <si>
    <t>VD150</t>
  </si>
  <si>
    <t>燃气调节阀 开度 整数值 %</t>
  </si>
  <si>
    <t>R_Over_Temp_Diff_SET</t>
  </si>
  <si>
    <t>VD586</t>
  </si>
  <si>
    <t>超温回差，当 温度低于停机温度减去该值，开主火</t>
  </si>
  <si>
    <t>VD1648</t>
  </si>
  <si>
    <t>远程 温度显示</t>
  </si>
  <si>
    <t>远程 当前档位RTU</t>
  </si>
  <si>
    <t>远程 目标温度RTU</t>
  </si>
  <si>
    <t>W_Valve_Detect_CD_VAL</t>
  </si>
  <si>
    <t>VW138</t>
  </si>
  <si>
    <t>调节阀检测倒计时 计算值</t>
  </si>
  <si>
    <t>W_Leak_CD_VAL</t>
  </si>
  <si>
    <t>VW140</t>
  </si>
  <si>
    <t>检漏倒计时 计算值</t>
  </si>
  <si>
    <t>W_Purge_CD_VAL</t>
  </si>
  <si>
    <t>VW142</t>
  </si>
  <si>
    <t>吹扫倒计时 计算值</t>
  </si>
  <si>
    <t>W_Ignite_CD_VAL</t>
  </si>
  <si>
    <t>VW144</t>
  </si>
  <si>
    <t>高压打火 倒计时 计算值</t>
  </si>
  <si>
    <t>W_ValveLift_Air_VAL_Per</t>
  </si>
  <si>
    <t>VW154</t>
  </si>
  <si>
    <t>空气调节阀开度 整数 %</t>
  </si>
  <si>
    <t>W_ValveLift_Gas_VAL_Per</t>
  </si>
  <si>
    <t>VW156</t>
  </si>
  <si>
    <t>燃气调节阀开度 整数 %</t>
  </si>
  <si>
    <t>W_Sys_Status</t>
  </si>
  <si>
    <t>W_Sys_Status_Time</t>
  </si>
  <si>
    <t>W_Remote_Temp_VAL</t>
  </si>
  <si>
    <t>W_Remote_Air_P_VAL</t>
  </si>
  <si>
    <t>当前管道空气压力，风压</t>
  </si>
  <si>
    <t>1.检漏、调节阀检测中……2.检测完成3.设备停止4.正在启动……5.正在吹扫……6.吹扫完成7.点火准备中……8.正在点火……9.点火成功10.【小火运行】11.【主火运行】12.故障报警13.温控停机</t>
    <phoneticPr fontId="19" type="noConversion"/>
  </si>
  <si>
    <t>地址</t>
    <phoneticPr fontId="30" type="noConversion"/>
  </si>
  <si>
    <t>差值</t>
    <phoneticPr fontId="30" type="noConversion"/>
  </si>
  <si>
    <t>存储区</t>
    <phoneticPr fontId="30" type="noConversion"/>
  </si>
  <si>
    <t>测试内容</t>
    <phoneticPr fontId="30" type="noConversion"/>
  </si>
  <si>
    <t>数据类型</t>
    <phoneticPr fontId="4" type="noConversion"/>
  </si>
  <si>
    <t>数据类型</t>
    <phoneticPr fontId="10" type="noConversion"/>
  </si>
  <si>
    <t>字节 Byte 8bit</t>
    <phoneticPr fontId="10" type="noConversion"/>
  </si>
  <si>
    <t>布尔型 Bool 1bit</t>
    <phoneticPr fontId="10" type="noConversion"/>
  </si>
  <si>
    <t>字 Word 16bit</t>
  </si>
  <si>
    <t>字 Word 16bit</t>
    <phoneticPr fontId="10" type="noConversion"/>
  </si>
  <si>
    <t>实数 Real 32bit</t>
  </si>
  <si>
    <t>实数 Real 32bit</t>
    <phoneticPr fontId="10" type="noConversion"/>
  </si>
  <si>
    <t>双字 Dword 32bit</t>
    <phoneticPr fontId="10" type="noConversion"/>
  </si>
  <si>
    <t>布尔型 Bool 1bit</t>
    <phoneticPr fontId="4" type="noConversion"/>
  </si>
  <si>
    <t>测试类别</t>
    <phoneticPr fontId="30" type="noConversion"/>
  </si>
  <si>
    <t>测试类别</t>
    <phoneticPr fontId="10" type="noConversion"/>
  </si>
  <si>
    <t>正常</t>
    <phoneticPr fontId="10" type="noConversion"/>
  </si>
  <si>
    <t>异常</t>
    <phoneticPr fontId="10" type="noConversion"/>
  </si>
  <si>
    <t>序号</t>
    <phoneticPr fontId="30" type="noConversion"/>
  </si>
  <si>
    <r>
      <rPr>
        <sz val="12"/>
        <rFont val="Segoe UI Symbol"/>
        <family val="2"/>
      </rPr>
      <t>☐</t>
    </r>
    <r>
      <rPr>
        <sz val="12"/>
        <rFont val="宋体"/>
        <family val="3"/>
        <charset val="134"/>
      </rPr>
      <t xml:space="preserve"> 通过</t>
    </r>
    <phoneticPr fontId="30" type="noConversion"/>
  </si>
  <si>
    <r>
      <rPr>
        <sz val="12"/>
        <rFont val="Segoe UI Symbol"/>
        <family val="3"/>
      </rPr>
      <t>☐</t>
    </r>
    <r>
      <rPr>
        <sz val="12"/>
        <rFont val="Calibri"/>
        <family val="3"/>
      </rPr>
      <t xml:space="preserve"> </t>
    </r>
    <r>
      <rPr>
        <sz val="12"/>
        <rFont val="宋体"/>
        <family val="3"/>
        <charset val="134"/>
      </rPr>
      <t>通过</t>
    </r>
    <phoneticPr fontId="30" type="noConversion"/>
  </si>
  <si>
    <t>V1灯亮，接通燃气低压开关
V2灯亮，关闭燃气低压开关
检漏倒计时正常显示
按开机键，HMI会提示此时不能开机</t>
    <phoneticPr fontId="30" type="noConversion"/>
  </si>
  <si>
    <t>检漏</t>
    <phoneticPr fontId="30" type="noConversion"/>
  </si>
  <si>
    <t>V1灯亮，【不】接通燃气低压开关
V2灯亮，【不】关闭燃气低压开关</t>
    <phoneticPr fontId="30" type="noConversion"/>
  </si>
  <si>
    <t>调节阀检测</t>
    <phoneticPr fontId="30" type="noConversion"/>
  </si>
  <si>
    <t>检漏异常报警，并且无法开机，
指示灯亮红灯且闪烁
按开机键无法开机，必须再次检漏，通过后才能开机。</t>
    <phoneticPr fontId="30" type="noConversion"/>
  </si>
  <si>
    <t>显示正常、检测中开机提醒正常
检测完成后检漏灯亮绿灯，检漏通过</t>
    <phoneticPr fontId="30" type="noConversion"/>
  </si>
  <si>
    <t>调节阀检测倒计时 显示正常
调节阀检测指示灯 绿灯常亮</t>
    <phoneticPr fontId="30" type="noConversion"/>
  </si>
  <si>
    <t xml:space="preserve">改变调节阀的反馈值，共有以下情况：
1、第1步 2个错误，结束检测
2、第1步 2个正常，第2步 2个错误
3、第1步 2个正常，第2步 1个错误
4、第1步 1个正常，第2步 2个错误
5、第1步 1个正常，第2步 1个错误
6、第1步 1个正常，第2步 2个正常
</t>
    <phoneticPr fontId="30" type="noConversion"/>
  </si>
  <si>
    <t>1、2个调节阀检测指示灯 橙色闪烁
2、2个调节阀检测指示灯 橙色闪烁
3、1错误的橙色闪烁、1正常的绿灯常亮
4、2个调节阀检测指示灯 橙色闪烁
5、1错误的橙色闪烁、1正常的绿灯常亮
6、1错误的橙色闪烁、1正常的绿灯常亮</t>
    <phoneticPr fontId="30" type="noConversion"/>
  </si>
  <si>
    <t>正确显示吹扫倒计时，正常吹扫</t>
    <phoneticPr fontId="30" type="noConversion"/>
  </si>
  <si>
    <t>第1步：空气调节阀走至吹扫位置，限时60秒，到位或到超60秒 进入第2步 吹扫
第2步：开始吹扫，显示吹扫倒计时</t>
    <phoneticPr fontId="30" type="noConversion"/>
  </si>
  <si>
    <t>第1步：调节阀走至点火位置，限时60秒，到位或超60秒 进入第2步 点火
第2步：开始点火</t>
    <phoneticPr fontId="30" type="noConversion"/>
  </si>
  <si>
    <t>正常进入点火程序</t>
    <phoneticPr fontId="30" type="noConversion"/>
  </si>
  <si>
    <t>温控停主火</t>
    <phoneticPr fontId="30" type="noConversion"/>
  </si>
  <si>
    <t>温控开主火</t>
    <phoneticPr fontId="30" type="noConversion"/>
  </si>
  <si>
    <t>在温控停主火状态下，调整温度低于开主火温度</t>
    <phoneticPr fontId="30" type="noConversion"/>
  </si>
  <si>
    <t>低于开机温度3秒以上，开启主火</t>
    <phoneticPr fontId="30" type="noConversion"/>
  </si>
  <si>
    <t>超过设定温度保持3秒以上，在60秒内调整到1档，到位或超60秒后关闭主火阀、安全阀</t>
    <phoneticPr fontId="30" type="noConversion"/>
  </si>
  <si>
    <t>备注</t>
    <phoneticPr fontId="30" type="noConversion"/>
  </si>
  <si>
    <t>开机提醒，在检漏完成并且通过后自动消失</t>
    <phoneticPr fontId="30" type="noConversion"/>
  </si>
  <si>
    <t>调节阀检测通过逻辑：在第1步和第2步检测中，全部通过，才算通过。
第1步：调节阀在设定时间内（60s）关闭至0位，对比执行与反馈差值均在设定5%以内，进入第2步检测。
第2步：调节阀在规定时间60s内打开至设定位置如70%，再次对比执行与反馈差值，也均在5%之内。检测结束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</si>
</sst>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_ "/>
    <numFmt numFmtId="178" formatCode="0.00_);[Red]\(0.00\)"/>
  </numFmts>
  <fonts count="36">
    <font>
      <sz val="12"/>
      <name val="宋体"/>
      <charset val="134"/>
    </font>
    <font>
      <sz val="12"/>
      <color indexed="10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Microsoft YaHei"/>
      <family val="2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b/>
      <sz val="16"/>
      <name val="宋体"/>
      <family val="3"/>
      <charset val="134"/>
    </font>
    <font>
      <sz val="12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6"/>
      <color theme="0"/>
      <name val="宋体"/>
      <family val="3"/>
      <charset val="134"/>
    </font>
    <font>
      <sz val="11"/>
      <color rgb="FF000000"/>
      <name val="Microsoft YaHei"/>
      <family val="2"/>
      <charset val="134"/>
    </font>
    <font>
      <sz val="11"/>
      <color rgb="FF393939"/>
      <name val="宋体"/>
      <family val="3"/>
      <charset val="134"/>
    </font>
    <font>
      <b/>
      <sz val="16"/>
      <color theme="0"/>
      <name val="Microsoft YaHei"/>
      <family val="2"/>
      <charset val="134"/>
    </font>
    <font>
      <b/>
      <sz val="16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name val="Segoe UI Symbol"/>
      <family val="2"/>
    </font>
    <font>
      <sz val="12"/>
      <name val="宋体"/>
      <family val="2"/>
      <charset val="134"/>
    </font>
    <font>
      <sz val="12"/>
      <name val="Segoe UI Symbol"/>
      <family val="3"/>
    </font>
    <font>
      <sz val="12"/>
      <name val="Calibri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0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0" xfId="0" applyFont="1">
      <alignment vertical="center"/>
    </xf>
    <xf numFmtId="0" fontId="13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3" fillId="0" borderId="0" xfId="0" applyFont="1">
      <alignment vertical="center"/>
    </xf>
    <xf numFmtId="0" fontId="1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7" fillId="0" borderId="2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 wrapText="1"/>
    </xf>
    <xf numFmtId="0" fontId="25" fillId="0" borderId="1" xfId="0" applyFont="1" applyBorder="1">
      <alignment vertical="center"/>
    </xf>
    <xf numFmtId="0" fontId="17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8" fillId="0" borderId="3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center" vertical="center" wrapText="1"/>
    </xf>
    <xf numFmtId="176" fontId="22" fillId="0" borderId="1" xfId="0" applyNumberFormat="1" applyFont="1" applyBorder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right" vertical="center"/>
    </xf>
    <xf numFmtId="177" fontId="22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178" fontId="22" fillId="0" borderId="1" xfId="0" applyNumberFormat="1" applyFont="1" applyBorder="1" applyAlignment="1">
      <alignment horizontal="right" vertical="center"/>
    </xf>
    <xf numFmtId="0" fontId="2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9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2" xfId="0" applyFont="1" applyFill="1" applyBorder="1" applyAlignment="1">
      <alignment horizontal="center" vertical="center"/>
    </xf>
    <xf numFmtId="0" fontId="31" fillId="2" borderId="1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right" vertical="center"/>
    </xf>
    <xf numFmtId="0" fontId="3" fillId="0" borderId="0" xfId="0" applyFont="1">
      <alignment vertical="center"/>
    </xf>
    <xf numFmtId="178" fontId="3" fillId="0" borderId="1" xfId="0" applyNumberFormat="1" applyFont="1" applyBorder="1" applyAlignment="1">
      <alignment horizontal="right" vertical="center"/>
    </xf>
    <xf numFmtId="177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2">
    <cellStyle name="常规" xfId="0" builtinId="0"/>
    <cellStyle name="常规 4 2" xfId="1" xr:uid="{C97CC49E-8548-40A7-B373-8E3F8F01BD97}"/>
  </cellStyles>
  <dxfs count="69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宋体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宋体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top style="thin">
          <color rgb="FF000000"/>
        </top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A7A7A7"/>
        </left>
        <top style="medium">
          <color rgb="FFA7A7A7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indent="0" justifyLastLine="0" shrinkToFit="0" readingOrder="0"/>
    </dxf>
    <dxf>
      <border outline="0">
        <bottom style="medium">
          <color rgb="FFA7A7A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667D90-1EB1-4976-A8D5-70F378E47508}" name="表1" displayName="表1" ref="A1:F445" totalsRowShown="0" headerRowDxfId="68" dataDxfId="66" headerRowBorderDxfId="67" tableBorderDxfId="65">
  <autoFilter ref="A1:F445" xr:uid="{EAEC5D8C-41E3-481D-8A3D-D139585DF349}"/>
  <sortState xmlns:xlrd2="http://schemas.microsoft.com/office/spreadsheetml/2017/richdata2" ref="A2:F445">
    <sortCondition ref="B1:B445"/>
  </sortState>
  <tableColumns count="6">
    <tableColumn id="1" xr3:uid="{00000000-0010-0000-0300-000001000000}" name="存储区" dataDxfId="64"/>
    <tableColumn id="2" xr3:uid="{00000000-0010-0000-0300-000002000000}" name="排序" dataDxfId="63"/>
    <tableColumn id="3" xr3:uid="{00000000-0010-0000-0300-000003000000}" name="符号" dataDxfId="62"/>
    <tableColumn id="4" xr3:uid="{00000000-0010-0000-0300-000004000000}" name="地址" dataDxfId="61"/>
    <tableColumn id="5" xr3:uid="{00000000-0010-0000-0300-000005000000}" name="注释" dataDxfId="60"/>
    <tableColumn id="6" xr3:uid="{00000000-0010-0000-0300-000006000000}" name="停电保持" dataDxfId="5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C6A3F09-E86C-49A8-B91A-E1B95FD203B0}" name="表8" displayName="表8" ref="A1:F23" totalsRowShown="0" headerRowDxfId="58" dataDxfId="56" headerRowBorderDxfId="57" tableBorderDxfId="55">
  <autoFilter ref="A1:F23" xr:uid="{31503A1A-3ED1-4869-9B93-C5ABFAC7625B}"/>
  <sortState xmlns:xlrd2="http://schemas.microsoft.com/office/spreadsheetml/2017/richdata2" ref="A2:F21">
    <sortCondition ref="A1:A21"/>
  </sortState>
  <tableColumns count="6">
    <tableColumn id="5" xr3:uid="{00000000-0010-0000-0100-000005000000}" name="命名类型" dataDxfId="54"/>
    <tableColumn id="1" xr3:uid="{00000000-0010-0000-0100-000001000000}" name="名称" dataDxfId="53"/>
    <tableColumn id="2" xr3:uid="{00000000-0010-0000-0100-000002000000}" name="代码" dataDxfId="52"/>
    <tableColumn id="3" xr3:uid="{00000000-0010-0000-0100-000003000000}" name="存储区域" dataDxfId="51"/>
    <tableColumn id="4" xr3:uid="{00000000-0010-0000-0100-000004000000}" name="示例" dataDxfId="50"/>
    <tableColumn id="6" xr3:uid="{00000000-0010-0000-0100-000006000000}" name="说明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D9EB2FB0-C2BE-41FC-99FB-6CD331B6BC5E}" name="符号表" displayName="符号表" ref="A1:G257" totalsRowShown="0" headerRowDxfId="48" dataDxfId="46" headerRowBorderDxfId="47" tableBorderDxfId="45">
  <autoFilter ref="A1:G257" xr:uid="{B3E6F695-5A5D-43F2-A4A9-C2D31569F3E9}"/>
  <sortState xmlns:xlrd2="http://schemas.microsoft.com/office/spreadsheetml/2017/richdata2" ref="A2:G257">
    <sortCondition ref="A1:A257"/>
  </sortState>
  <tableColumns count="7">
    <tableColumn id="1" xr3:uid="{00000000-0010-0000-0F00-000001000000}" name="存储区" dataDxfId="44"/>
    <tableColumn id="2" xr3:uid="{00000000-0010-0000-0F00-000002000000}" name="排序" dataDxfId="43"/>
    <tableColumn id="8" xr3:uid="{00000000-0010-0000-0F00-000008000000}" name="间隔校验" dataDxfId="42"/>
    <tableColumn id="7" xr3:uid="{00000000-0010-0000-0F00-000007000000}" name="符号长度" dataDxfId="41"/>
    <tableColumn id="3" xr3:uid="{00000000-0010-0000-0F00-000003000000}" name="符号" dataDxfId="40"/>
    <tableColumn id="4" xr3:uid="{00000000-0010-0000-0F00-000004000000}" name="地址" dataDxfId="39"/>
    <tableColumn id="5" xr3:uid="{00000000-0010-0000-0F00-000005000000}" name="注释" dataDxfId="3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DC73BD-6F51-4BCF-84E1-56C5A6AFF38F}" name="表3" displayName="表3" ref="A1:C40" totalsRowShown="0" headerRowDxfId="37" dataDxfId="36">
  <autoFilter ref="A1:C40" xr:uid="{B6DC73BD-6F51-4BCF-84E1-56C5A6AFF38F}"/>
  <sortState xmlns:xlrd2="http://schemas.microsoft.com/office/spreadsheetml/2017/richdata2" ref="A2:C40">
    <sortCondition ref="B1:B40"/>
  </sortState>
  <tableColumns count="3">
    <tableColumn id="1" xr3:uid="{C9EC5542-3176-4CF9-AACC-E9B37EB87292}" name="存储区" dataDxfId="35"/>
    <tableColumn id="2" xr3:uid="{B8E7CB01-86AB-4B99-82DC-6E4AF1B67DCA}" name="地址" dataDxfId="34"/>
    <tableColumn id="3" xr3:uid="{17BBCF5F-DF23-4029-9CA9-3FFC00CBE4FD}" name="差值" dataDxfId="33">
      <calculatedColumnFormula>B2-N(B1)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3BE1E8C-8A27-4BF2-B5AD-7C3831A87FC9}" name="表37" displayName="表37" ref="A1:F21" totalsRowShown="0" headerRowDxfId="32" dataDxfId="30" headerRowBorderDxfId="31" tableBorderDxfId="29" totalsRowBorderDxfId="28">
  <autoFilter ref="A1:F21" xr:uid="{E517E8B6-ADC0-4F95-930E-5AF82CCFF0B4}"/>
  <tableColumns count="6">
    <tableColumn id="1" xr3:uid="{00000000-0010-0000-1100-000001000000}" name="现场设备" dataDxfId="27"/>
    <tableColumn id="2" xr3:uid="{00000000-0010-0000-1100-000002000000}" name="地址" dataDxfId="26"/>
    <tableColumn id="3" xr3:uid="{00000000-0010-0000-1100-000003000000}" name="映射" dataDxfId="25"/>
    <tableColumn id="4" xr3:uid="{00000000-0010-0000-1100-000004000000}" name="符号" dataDxfId="24"/>
    <tableColumn id="5" xr3:uid="{00000000-0010-0000-1100-000005000000}" name="类型" dataDxfId="23"/>
    <tableColumn id="6" xr3:uid="{00000000-0010-0000-1100-000006000000}" name="备注" dataDxfId="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819FCED7-92C0-4647-B4B4-EBF1A26CEDAE}" name="表46" displayName="表46" ref="B1:H17" totalsRowShown="0" headerRowDxfId="21" dataDxfId="19" headerRowBorderDxfId="20">
  <autoFilter ref="B1:H17" xr:uid="{94000AEE-EA2C-4D0D-8C4C-2ABB18A8C2A9}"/>
  <tableColumns count="7">
    <tableColumn id="2" xr3:uid="{00000000-0010-0000-0700-000002000000}" name="从站 HoldStar=500" dataDxfId="18"/>
    <tableColumn id="9" xr3:uid="{00000000-0010-0000-0700-000009000000}" name="符号" dataDxfId="17"/>
    <tableColumn id="3" xr3:uid="{00000000-0010-0000-0700-000003000000}" name="从站 HoldStar=1500" dataDxfId="16"/>
    <tableColumn id="8" xr3:uid="{00000000-0010-0000-0700-000008000000}" name="注释" dataDxfId="15"/>
    <tableColumn id="4" xr3:uid="{00000000-0010-0000-0700-000004000000}" name="Modbus主站地址" dataDxfId="14"/>
    <tableColumn id="1" xr3:uid="{BFEA06D1-5376-4D08-897B-7DC31E55C531}" name="数据类型" dataDxfId="13"/>
    <tableColumn id="5" xr3:uid="{00000000-0010-0000-0700-000005000000}" name="备注" dataDxfId="1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DDED1F-1C4B-4D84-8FD0-826AE3C701E6}" name="表2" displayName="表2" ref="A1:G21" totalsRowShown="0" headerRowDxfId="11" dataDxfId="9" headerRowBorderDxfId="10" tableBorderDxfId="8" totalsRowBorderDxfId="7">
  <autoFilter ref="A1:G21" xr:uid="{28DDED1F-1C4B-4D84-8FD0-826AE3C701E6}"/>
  <tableColumns count="7">
    <tableColumn id="6" xr3:uid="{3CBECB6D-4D10-48D8-8796-E40255F9A9C5}" name="序号" dataDxfId="6">
      <calculatedColumnFormula>ROW()-1</calculatedColumnFormula>
    </tableColumn>
    <tableColumn id="1" xr3:uid="{092C8F4C-750F-4A54-9775-0E878E7F692D}" name="测试类别" dataDxfId="5"/>
    <tableColumn id="2" xr3:uid="{55E7343C-005A-47DD-BF51-A98FEB8687FA}" name="项目" dataDxfId="4"/>
    <tableColumn id="3" xr3:uid="{E219FFED-DB05-4801-BA8C-E5182B5E135C}" name="测试内容" dataDxfId="3"/>
    <tableColumn id="4" xr3:uid="{37775F0D-5709-4D26-8B0D-3C61F165FF43}" name="预期结果" dataDxfId="2"/>
    <tableColumn id="5" xr3:uid="{1DD79E4F-C3FB-4EA3-8CB8-5707D129384D}" name="实测结果" dataDxfId="1"/>
    <tableColumn id="7" xr3:uid="{B06FFC10-5F8E-4C29-897A-DCDCD65BF95B}" name="备注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CE4E-6640-4F77-AE2C-2BCFE1960A83}">
  <dimension ref="A1:K445"/>
  <sheetViews>
    <sheetView zoomScaleNormal="100" zoomScaleSheetLayoutView="100" workbookViewId="0">
      <selection activeCell="J439" sqref="J439"/>
    </sheetView>
  </sheetViews>
  <sheetFormatPr defaultRowHeight="24.95" customHeight="1"/>
  <cols>
    <col min="1" max="1" width="8" style="2" customWidth="1"/>
    <col min="2" max="2" width="10" style="2" bestFit="1" customWidth="1"/>
    <col min="3" max="3" width="21.625" style="2" bestFit="1" customWidth="1"/>
    <col min="4" max="4" width="11" style="2" bestFit="1" customWidth="1"/>
    <col min="5" max="5" width="33.875" style="2" bestFit="1" customWidth="1"/>
    <col min="6" max="8" width="9" style="2"/>
    <col min="9" max="9" width="16.125" style="2" bestFit="1" customWidth="1"/>
    <col min="10" max="10" width="6.5" style="2" bestFit="1" customWidth="1"/>
    <col min="11" max="11" width="33.875" style="2" bestFit="1" customWidth="1"/>
    <col min="12" max="16384" width="9" style="2"/>
  </cols>
  <sheetData>
    <row r="1" spans="1:11" s="4" customFormat="1" ht="33.75" customHeight="1">
      <c r="A1" s="19" t="s">
        <v>525</v>
      </c>
      <c r="B1" s="19" t="s">
        <v>524</v>
      </c>
      <c r="C1" s="19" t="s">
        <v>536</v>
      </c>
      <c r="D1" s="19" t="s">
        <v>522</v>
      </c>
      <c r="E1" s="19" t="s">
        <v>523</v>
      </c>
      <c r="F1" s="20" t="s">
        <v>697</v>
      </c>
    </row>
    <row r="2" spans="1:11" ht="24.95" customHeight="1">
      <c r="A2" s="1" t="s">
        <v>531</v>
      </c>
      <c r="B2" s="1">
        <f t="shared" ref="B2:B65" si="0">VALUE(RIGHT(D2,LEN(D2)-LEN(A2)))</f>
        <v>0</v>
      </c>
      <c r="C2" s="1" t="s">
        <v>14</v>
      </c>
      <c r="D2" s="1" t="s">
        <v>15</v>
      </c>
      <c r="E2" s="1" t="s">
        <v>16</v>
      </c>
      <c r="F2" s="17" t="s">
        <v>701</v>
      </c>
      <c r="I2" s="2" t="s">
        <v>665</v>
      </c>
      <c r="J2" s="2" t="s">
        <v>598</v>
      </c>
    </row>
    <row r="3" spans="1:11" ht="24.95" customHeight="1">
      <c r="A3" s="1" t="s">
        <v>8</v>
      </c>
      <c r="B3" s="1">
        <f t="shared" si="0"/>
        <v>0</v>
      </c>
      <c r="C3" s="6" t="s">
        <v>491</v>
      </c>
      <c r="D3" s="7" t="s">
        <v>513</v>
      </c>
      <c r="E3" s="1"/>
      <c r="F3" s="1" t="s">
        <v>699</v>
      </c>
      <c r="I3" s="2" t="s">
        <v>666</v>
      </c>
      <c r="J3" s="2" t="s">
        <v>667</v>
      </c>
    </row>
    <row r="4" spans="1:11" ht="24.95" customHeight="1">
      <c r="A4" s="1" t="s">
        <v>0</v>
      </c>
      <c r="B4" s="1">
        <f t="shared" si="0"/>
        <v>0</v>
      </c>
      <c r="C4" s="1" t="s">
        <v>9</v>
      </c>
      <c r="D4" s="1" t="s">
        <v>10</v>
      </c>
      <c r="E4" s="1"/>
      <c r="F4" s="16" t="s">
        <v>703</v>
      </c>
      <c r="I4" s="2" t="s">
        <v>668</v>
      </c>
      <c r="J4" s="2" t="s">
        <v>669</v>
      </c>
    </row>
    <row r="5" spans="1:11" ht="24.95" customHeight="1">
      <c r="A5" s="1" t="s">
        <v>2</v>
      </c>
      <c r="B5" s="1">
        <f t="shared" si="0"/>
        <v>0</v>
      </c>
      <c r="C5" s="1"/>
      <c r="D5" s="7" t="s">
        <v>542</v>
      </c>
      <c r="E5" s="1"/>
      <c r="F5" s="16" t="s">
        <v>703</v>
      </c>
      <c r="I5" s="2" t="s">
        <v>670</v>
      </c>
      <c r="J5" s="2" t="s">
        <v>671</v>
      </c>
    </row>
    <row r="6" spans="1:11" ht="24.95" customHeight="1">
      <c r="A6" s="1" t="s">
        <v>1</v>
      </c>
      <c r="B6" s="1">
        <f t="shared" si="0"/>
        <v>0</v>
      </c>
      <c r="C6" s="1" t="s">
        <v>11</v>
      </c>
      <c r="D6" s="1" t="s">
        <v>13</v>
      </c>
      <c r="E6" s="1" t="s">
        <v>12</v>
      </c>
      <c r="F6" s="16" t="s">
        <v>703</v>
      </c>
      <c r="I6" s="2" t="s">
        <v>672</v>
      </c>
      <c r="J6" s="2" t="s">
        <v>673</v>
      </c>
    </row>
    <row r="7" spans="1:11" ht="24.95" customHeight="1">
      <c r="A7" s="1" t="s">
        <v>4</v>
      </c>
      <c r="B7" s="1">
        <f t="shared" si="0"/>
        <v>0</v>
      </c>
      <c r="C7" s="1" t="s">
        <v>10</v>
      </c>
      <c r="D7" s="7" t="s">
        <v>622</v>
      </c>
      <c r="E7" s="1"/>
      <c r="F7" s="16" t="s">
        <v>703</v>
      </c>
      <c r="I7" s="2" t="s">
        <v>674</v>
      </c>
      <c r="J7" s="2" t="s">
        <v>675</v>
      </c>
    </row>
    <row r="8" spans="1:11" ht="24.95" customHeight="1">
      <c r="A8" s="1" t="s">
        <v>0</v>
      </c>
      <c r="B8" s="1">
        <f t="shared" si="0"/>
        <v>0.1</v>
      </c>
      <c r="C8" s="1" t="s">
        <v>22</v>
      </c>
      <c r="D8" s="1" t="s">
        <v>23</v>
      </c>
      <c r="E8" s="1"/>
      <c r="F8" s="16" t="s">
        <v>703</v>
      </c>
      <c r="I8" s="2" t="s">
        <v>676</v>
      </c>
      <c r="J8" s="2" t="s">
        <v>677</v>
      </c>
    </row>
    <row r="9" spans="1:11" ht="24.95" customHeight="1">
      <c r="A9" s="1" t="s">
        <v>2</v>
      </c>
      <c r="B9" s="1">
        <f t="shared" si="0"/>
        <v>0.1</v>
      </c>
      <c r="C9" s="6" t="s">
        <v>489</v>
      </c>
      <c r="D9" s="1" t="s">
        <v>33</v>
      </c>
      <c r="E9" s="1"/>
      <c r="F9" s="16" t="s">
        <v>703</v>
      </c>
      <c r="I9" s="2" t="s">
        <v>678</v>
      </c>
      <c r="J9" s="2" t="s">
        <v>679</v>
      </c>
    </row>
    <row r="10" spans="1:11" ht="24.95" customHeight="1">
      <c r="A10" s="1" t="s">
        <v>1</v>
      </c>
      <c r="B10" s="1">
        <f t="shared" si="0"/>
        <v>0.1</v>
      </c>
      <c r="C10" s="5" t="s">
        <v>418</v>
      </c>
      <c r="D10" s="1" t="s">
        <v>26</v>
      </c>
      <c r="E10" s="1" t="s">
        <v>25</v>
      </c>
      <c r="F10" s="16" t="s">
        <v>703</v>
      </c>
      <c r="I10" s="2" t="s">
        <v>680</v>
      </c>
      <c r="J10" s="2" t="s">
        <v>681</v>
      </c>
    </row>
    <row r="11" spans="1:11" ht="24.95" customHeight="1">
      <c r="A11" s="1" t="s">
        <v>4</v>
      </c>
      <c r="B11" s="1">
        <f t="shared" si="0"/>
        <v>0.1</v>
      </c>
      <c r="C11" s="1" t="s">
        <v>23</v>
      </c>
      <c r="D11" s="1" t="s">
        <v>557</v>
      </c>
      <c r="E11" s="1"/>
      <c r="F11" s="16" t="s">
        <v>703</v>
      </c>
      <c r="I11" s="2" t="s">
        <v>510</v>
      </c>
      <c r="J11" s="2" t="s">
        <v>682</v>
      </c>
      <c r="K11" s="2" t="s">
        <v>511</v>
      </c>
    </row>
    <row r="12" spans="1:11" ht="24.95" customHeight="1">
      <c r="A12" s="1" t="s">
        <v>0</v>
      </c>
      <c r="B12" s="1">
        <f t="shared" si="0"/>
        <v>0.2</v>
      </c>
      <c r="C12" s="1" t="s">
        <v>41</v>
      </c>
      <c r="D12" s="1" t="s">
        <v>42</v>
      </c>
      <c r="E12" s="1"/>
      <c r="F12" s="16" t="s">
        <v>703</v>
      </c>
      <c r="I12" s="2" t="s">
        <v>508</v>
      </c>
      <c r="J12" s="2" t="s">
        <v>683</v>
      </c>
      <c r="K12" s="2" t="s">
        <v>509</v>
      </c>
    </row>
    <row r="13" spans="1:11" ht="24.95" customHeight="1">
      <c r="A13" s="1" t="s">
        <v>2</v>
      </c>
      <c r="B13" s="1">
        <f t="shared" si="0"/>
        <v>0.2</v>
      </c>
      <c r="C13" s="6" t="s">
        <v>490</v>
      </c>
      <c r="D13" s="1" t="s">
        <v>48</v>
      </c>
      <c r="E13" s="1"/>
      <c r="F13" s="16" t="s">
        <v>703</v>
      </c>
      <c r="I13" s="2" t="s">
        <v>507</v>
      </c>
      <c r="J13" s="2" t="s">
        <v>684</v>
      </c>
      <c r="K13" s="2" t="s">
        <v>685</v>
      </c>
    </row>
    <row r="14" spans="1:11" ht="24.95" customHeight="1">
      <c r="A14" s="1" t="s">
        <v>1</v>
      </c>
      <c r="B14" s="1">
        <f t="shared" si="0"/>
        <v>0.2</v>
      </c>
      <c r="C14" s="6" t="s">
        <v>501</v>
      </c>
      <c r="D14" s="1" t="s">
        <v>44</v>
      </c>
      <c r="E14" s="1" t="s">
        <v>43</v>
      </c>
      <c r="F14" s="16" t="s">
        <v>703</v>
      </c>
    </row>
    <row r="15" spans="1:11" ht="24.95" customHeight="1">
      <c r="A15" s="1" t="s">
        <v>4</v>
      </c>
      <c r="B15" s="1">
        <f t="shared" si="0"/>
        <v>0.2</v>
      </c>
      <c r="C15" s="1" t="s">
        <v>42</v>
      </c>
      <c r="D15" s="1" t="s">
        <v>558</v>
      </c>
      <c r="E15" s="1"/>
      <c r="F15" s="16" t="s">
        <v>703</v>
      </c>
    </row>
    <row r="16" spans="1:11" ht="24.95" customHeight="1">
      <c r="A16" s="1" t="s">
        <v>0</v>
      </c>
      <c r="B16" s="1">
        <f t="shared" si="0"/>
        <v>0.3</v>
      </c>
      <c r="C16" s="1" t="s">
        <v>55</v>
      </c>
      <c r="D16" s="1" t="s">
        <v>56</v>
      </c>
      <c r="E16" s="1"/>
      <c r="F16" s="16" t="s">
        <v>703</v>
      </c>
    </row>
    <row r="17" spans="1:6" ht="24.95" customHeight="1">
      <c r="A17" s="1" t="s">
        <v>2</v>
      </c>
      <c r="B17" s="1">
        <f t="shared" si="0"/>
        <v>0.3</v>
      </c>
      <c r="C17" s="1"/>
      <c r="D17" s="1" t="s">
        <v>60</v>
      </c>
      <c r="E17" s="1"/>
      <c r="F17" s="16" t="s">
        <v>703</v>
      </c>
    </row>
    <row r="18" spans="1:6" ht="24.95" customHeight="1">
      <c r="A18" s="1" t="s">
        <v>1</v>
      </c>
      <c r="B18" s="1">
        <f t="shared" si="0"/>
        <v>0.3</v>
      </c>
      <c r="C18" s="1" t="s">
        <v>57</v>
      </c>
      <c r="D18" s="1" t="s">
        <v>59</v>
      </c>
      <c r="E18" s="1" t="s">
        <v>58</v>
      </c>
      <c r="F18" s="16" t="s">
        <v>703</v>
      </c>
    </row>
    <row r="19" spans="1:6" ht="24.95" customHeight="1">
      <c r="A19" s="1" t="s">
        <v>4</v>
      </c>
      <c r="B19" s="1">
        <f t="shared" si="0"/>
        <v>0.3</v>
      </c>
      <c r="C19" s="1" t="s">
        <v>56</v>
      </c>
      <c r="D19" s="1" t="s">
        <v>559</v>
      </c>
      <c r="E19" s="1"/>
      <c r="F19" s="16" t="s">
        <v>703</v>
      </c>
    </row>
    <row r="20" spans="1:6" ht="24.95" customHeight="1">
      <c r="A20" s="1" t="s">
        <v>0</v>
      </c>
      <c r="B20" s="1">
        <f t="shared" si="0"/>
        <v>0.4</v>
      </c>
      <c r="C20" s="1" t="s">
        <v>65</v>
      </c>
      <c r="D20" s="1" t="s">
        <v>66</v>
      </c>
      <c r="E20" s="1"/>
      <c r="F20" s="16" t="s">
        <v>703</v>
      </c>
    </row>
    <row r="21" spans="1:6" ht="24.95" customHeight="1">
      <c r="A21" s="1" t="s">
        <v>2</v>
      </c>
      <c r="B21" s="1">
        <f t="shared" si="0"/>
        <v>0.4</v>
      </c>
      <c r="C21" s="1"/>
      <c r="D21" s="1" t="s">
        <v>70</v>
      </c>
      <c r="E21" s="1"/>
      <c r="F21" s="16" t="s">
        <v>703</v>
      </c>
    </row>
    <row r="22" spans="1:6" ht="24.95" customHeight="1">
      <c r="A22" s="1" t="s">
        <v>1</v>
      </c>
      <c r="B22" s="1">
        <f t="shared" si="0"/>
        <v>0.4</v>
      </c>
      <c r="C22" s="1" t="s">
        <v>67</v>
      </c>
      <c r="D22" s="1" t="s">
        <v>69</v>
      </c>
      <c r="E22" s="1" t="s">
        <v>68</v>
      </c>
      <c r="F22" s="16" t="s">
        <v>703</v>
      </c>
    </row>
    <row r="23" spans="1:6" ht="24.95" customHeight="1">
      <c r="A23" s="1" t="s">
        <v>4</v>
      </c>
      <c r="B23" s="1">
        <f t="shared" si="0"/>
        <v>0.4</v>
      </c>
      <c r="C23" s="1" t="s">
        <v>66</v>
      </c>
      <c r="D23" s="1" t="s">
        <v>560</v>
      </c>
      <c r="E23" s="1"/>
      <c r="F23" s="16" t="s">
        <v>703</v>
      </c>
    </row>
    <row r="24" spans="1:6" ht="24.95" customHeight="1">
      <c r="A24" s="1" t="s">
        <v>0</v>
      </c>
      <c r="B24" s="1">
        <f t="shared" si="0"/>
        <v>0.5</v>
      </c>
      <c r="C24" s="1" t="s">
        <v>74</v>
      </c>
      <c r="D24" s="1" t="s">
        <v>75</v>
      </c>
      <c r="E24" s="1"/>
      <c r="F24" s="16" t="s">
        <v>703</v>
      </c>
    </row>
    <row r="25" spans="1:6" ht="24.95" customHeight="1">
      <c r="A25" s="1" t="s">
        <v>2</v>
      </c>
      <c r="B25" s="1">
        <f t="shared" si="0"/>
        <v>0.5</v>
      </c>
      <c r="C25" s="1"/>
      <c r="D25" s="1" t="s">
        <v>79</v>
      </c>
      <c r="E25" s="1"/>
      <c r="F25" s="16" t="s">
        <v>703</v>
      </c>
    </row>
    <row r="26" spans="1:6" ht="24.95" customHeight="1">
      <c r="A26" s="1" t="s">
        <v>1</v>
      </c>
      <c r="B26" s="1">
        <f t="shared" si="0"/>
        <v>0.5</v>
      </c>
      <c r="C26" s="1" t="s">
        <v>76</v>
      </c>
      <c r="D26" s="1" t="s">
        <v>78</v>
      </c>
      <c r="E26" s="1" t="s">
        <v>77</v>
      </c>
      <c r="F26" s="16" t="s">
        <v>703</v>
      </c>
    </row>
    <row r="27" spans="1:6" ht="24.95" customHeight="1">
      <c r="A27" s="1" t="s">
        <v>4</v>
      </c>
      <c r="B27" s="1">
        <f t="shared" si="0"/>
        <v>0.5</v>
      </c>
      <c r="C27" s="1" t="s">
        <v>75</v>
      </c>
      <c r="D27" s="1" t="s">
        <v>561</v>
      </c>
      <c r="E27" s="1"/>
      <c r="F27" s="16" t="s">
        <v>703</v>
      </c>
    </row>
    <row r="28" spans="1:6" ht="24.95" customHeight="1">
      <c r="A28" s="1" t="s">
        <v>0</v>
      </c>
      <c r="B28" s="1">
        <f t="shared" si="0"/>
        <v>0.6</v>
      </c>
      <c r="C28" s="1" t="s">
        <v>85</v>
      </c>
      <c r="D28" s="1" t="s">
        <v>86</v>
      </c>
      <c r="E28" s="1"/>
      <c r="F28" s="16" t="s">
        <v>703</v>
      </c>
    </row>
    <row r="29" spans="1:6" ht="24.95" customHeight="1">
      <c r="A29" s="1" t="s">
        <v>2</v>
      </c>
      <c r="B29" s="1">
        <f t="shared" si="0"/>
        <v>0.6</v>
      </c>
      <c r="C29" s="1"/>
      <c r="D29" s="1" t="s">
        <v>90</v>
      </c>
      <c r="E29" s="1"/>
      <c r="F29" s="16" t="s">
        <v>703</v>
      </c>
    </row>
    <row r="30" spans="1:6" ht="24.95" customHeight="1">
      <c r="A30" s="1" t="s">
        <v>1</v>
      </c>
      <c r="B30" s="1">
        <f t="shared" si="0"/>
        <v>0.6</v>
      </c>
      <c r="C30" s="1" t="s">
        <v>87</v>
      </c>
      <c r="D30" s="1" t="s">
        <v>89</v>
      </c>
      <c r="E30" s="1" t="s">
        <v>88</v>
      </c>
      <c r="F30" s="16" t="s">
        <v>703</v>
      </c>
    </row>
    <row r="31" spans="1:6" ht="24.95" customHeight="1">
      <c r="A31" s="1" t="s">
        <v>4</v>
      </c>
      <c r="B31" s="1">
        <f t="shared" si="0"/>
        <v>0.6</v>
      </c>
      <c r="C31" s="1" t="s">
        <v>86</v>
      </c>
      <c r="D31" s="1" t="s">
        <v>562</v>
      </c>
      <c r="E31" s="1"/>
      <c r="F31" s="16" t="s">
        <v>703</v>
      </c>
    </row>
    <row r="32" spans="1:6" ht="24.95" customHeight="1">
      <c r="A32" s="1" t="s">
        <v>0</v>
      </c>
      <c r="B32" s="1">
        <f t="shared" si="0"/>
        <v>0.7</v>
      </c>
      <c r="C32" s="1" t="s">
        <v>94</v>
      </c>
      <c r="D32" s="1" t="s">
        <v>95</v>
      </c>
      <c r="E32" s="1"/>
      <c r="F32" s="16" t="s">
        <v>703</v>
      </c>
    </row>
    <row r="33" spans="1:6" ht="24.95" customHeight="1">
      <c r="A33" s="1" t="s">
        <v>2</v>
      </c>
      <c r="B33" s="1">
        <f t="shared" si="0"/>
        <v>0.7</v>
      </c>
      <c r="C33" s="1"/>
      <c r="D33" s="1" t="s">
        <v>98</v>
      </c>
      <c r="E33" s="1"/>
      <c r="F33" s="16" t="s">
        <v>703</v>
      </c>
    </row>
    <row r="34" spans="1:6" ht="24.95" customHeight="1">
      <c r="A34" s="1" t="s">
        <v>1</v>
      </c>
      <c r="B34" s="1">
        <f t="shared" si="0"/>
        <v>0.7</v>
      </c>
      <c r="C34" s="6" t="s">
        <v>500</v>
      </c>
      <c r="D34" s="1" t="s">
        <v>97</v>
      </c>
      <c r="E34" s="1" t="s">
        <v>96</v>
      </c>
      <c r="F34" s="16" t="s">
        <v>703</v>
      </c>
    </row>
    <row r="35" spans="1:6" ht="24.95" customHeight="1">
      <c r="A35" s="1" t="s">
        <v>4</v>
      </c>
      <c r="B35" s="1">
        <f t="shared" si="0"/>
        <v>0.7</v>
      </c>
      <c r="C35" s="1" t="s">
        <v>95</v>
      </c>
      <c r="D35" s="1" t="s">
        <v>563</v>
      </c>
      <c r="E35" s="1"/>
      <c r="F35" s="16" t="s">
        <v>703</v>
      </c>
    </row>
    <row r="36" spans="1:6" ht="24.95" customHeight="1">
      <c r="A36" s="1" t="s">
        <v>529</v>
      </c>
      <c r="B36" s="1">
        <f t="shared" si="0"/>
        <v>1</v>
      </c>
      <c r="C36" s="1" t="s">
        <v>27</v>
      </c>
      <c r="D36" s="1" t="s">
        <v>28</v>
      </c>
      <c r="E36" s="1" t="s">
        <v>29</v>
      </c>
      <c r="F36" s="1" t="s">
        <v>701</v>
      </c>
    </row>
    <row r="37" spans="1:6" ht="24.95" customHeight="1">
      <c r="A37" s="1" t="s">
        <v>531</v>
      </c>
      <c r="B37" s="1">
        <f t="shared" si="0"/>
        <v>1</v>
      </c>
      <c r="C37" s="1" t="s">
        <v>30</v>
      </c>
      <c r="D37" s="1" t="s">
        <v>31</v>
      </c>
      <c r="E37" s="1" t="s">
        <v>32</v>
      </c>
      <c r="F37" s="1" t="s">
        <v>701</v>
      </c>
    </row>
    <row r="38" spans="1:6" ht="24.95" customHeight="1">
      <c r="A38" s="1" t="s">
        <v>8</v>
      </c>
      <c r="B38" s="1">
        <f t="shared" si="0"/>
        <v>1</v>
      </c>
      <c r="C38" s="6" t="s">
        <v>492</v>
      </c>
      <c r="D38" s="7" t="s">
        <v>514</v>
      </c>
      <c r="E38" s="1"/>
      <c r="F38" s="1" t="s">
        <v>699</v>
      </c>
    </row>
    <row r="39" spans="1:6" ht="24.95" customHeight="1">
      <c r="A39" s="1" t="s">
        <v>0</v>
      </c>
      <c r="B39" s="1">
        <f t="shared" si="0"/>
        <v>1</v>
      </c>
      <c r="C39" s="1" t="s">
        <v>103</v>
      </c>
      <c r="D39" s="1" t="s">
        <v>104</v>
      </c>
      <c r="E39" s="1"/>
      <c r="F39" s="16" t="s">
        <v>703</v>
      </c>
    </row>
    <row r="40" spans="1:6" ht="24.95" customHeight="1">
      <c r="A40" s="1" t="s">
        <v>2</v>
      </c>
      <c r="B40" s="1">
        <f t="shared" si="0"/>
        <v>1</v>
      </c>
      <c r="C40" s="1" t="s">
        <v>435</v>
      </c>
      <c r="D40" s="7" t="s">
        <v>543</v>
      </c>
      <c r="E40" s="1"/>
      <c r="F40" s="16" t="s">
        <v>703</v>
      </c>
    </row>
    <row r="41" spans="1:6" ht="24.95" customHeight="1">
      <c r="A41" s="1" t="s">
        <v>4</v>
      </c>
      <c r="B41" s="1">
        <f t="shared" si="0"/>
        <v>1</v>
      </c>
      <c r="C41" s="1" t="s">
        <v>104</v>
      </c>
      <c r="D41" s="7" t="s">
        <v>623</v>
      </c>
      <c r="E41" s="1"/>
      <c r="F41" s="16" t="s">
        <v>703</v>
      </c>
    </row>
    <row r="42" spans="1:6" ht="24.95" customHeight="1">
      <c r="A42" s="1" t="s">
        <v>0</v>
      </c>
      <c r="B42" s="1">
        <f t="shared" si="0"/>
        <v>1.1000000000000001</v>
      </c>
      <c r="C42" s="1" t="s">
        <v>109</v>
      </c>
      <c r="D42" s="1" t="s">
        <v>110</v>
      </c>
      <c r="E42" s="1"/>
      <c r="F42" s="16" t="s">
        <v>703</v>
      </c>
    </row>
    <row r="43" spans="1:6" ht="24.95" customHeight="1">
      <c r="A43" s="1" t="s">
        <v>2</v>
      </c>
      <c r="B43" s="1">
        <f t="shared" si="0"/>
        <v>1.1000000000000001</v>
      </c>
      <c r="C43" s="8" t="s">
        <v>436</v>
      </c>
      <c r="D43" s="1" t="s">
        <v>111</v>
      </c>
      <c r="E43" s="1"/>
      <c r="F43" s="16" t="s">
        <v>703</v>
      </c>
    </row>
    <row r="44" spans="1:6" ht="24.95" customHeight="1">
      <c r="A44" s="1" t="s">
        <v>4</v>
      </c>
      <c r="B44" s="1">
        <f t="shared" si="0"/>
        <v>1.1000000000000001</v>
      </c>
      <c r="C44" s="1" t="s">
        <v>110</v>
      </c>
      <c r="D44" s="1" t="s">
        <v>564</v>
      </c>
      <c r="E44" s="1"/>
      <c r="F44" s="16" t="s">
        <v>703</v>
      </c>
    </row>
    <row r="45" spans="1:6" ht="24.95" customHeight="1">
      <c r="A45" s="1" t="s">
        <v>0</v>
      </c>
      <c r="B45" s="1">
        <f t="shared" si="0"/>
        <v>1.2</v>
      </c>
      <c r="C45" s="1"/>
      <c r="D45" s="1" t="s">
        <v>115</v>
      </c>
      <c r="E45" s="1"/>
      <c r="F45" s="16" t="s">
        <v>703</v>
      </c>
    </row>
    <row r="46" spans="1:6" ht="24.95" customHeight="1">
      <c r="A46" s="1" t="s">
        <v>2</v>
      </c>
      <c r="B46" s="1">
        <f t="shared" si="0"/>
        <v>1.2</v>
      </c>
      <c r="C46" s="1"/>
      <c r="D46" s="1" t="s">
        <v>116</v>
      </c>
      <c r="E46" s="1"/>
      <c r="F46" s="16" t="s">
        <v>703</v>
      </c>
    </row>
    <row r="47" spans="1:6" ht="24.95" customHeight="1">
      <c r="A47" s="1" t="s">
        <v>4</v>
      </c>
      <c r="B47" s="1">
        <f t="shared" si="0"/>
        <v>1.2</v>
      </c>
      <c r="C47" s="1" t="s">
        <v>115</v>
      </c>
      <c r="D47" s="1" t="s">
        <v>565</v>
      </c>
      <c r="E47" s="1"/>
      <c r="F47" s="16" t="s">
        <v>703</v>
      </c>
    </row>
    <row r="48" spans="1:6" ht="24.95" customHeight="1">
      <c r="A48" s="1" t="s">
        <v>2</v>
      </c>
      <c r="B48" s="1">
        <f t="shared" si="0"/>
        <v>1.3</v>
      </c>
      <c r="C48" s="1"/>
      <c r="D48" s="1" t="s">
        <v>122</v>
      </c>
      <c r="E48" s="1"/>
      <c r="F48" s="16" t="s">
        <v>703</v>
      </c>
    </row>
    <row r="49" spans="1:6" ht="24.95" customHeight="1">
      <c r="A49" s="1" t="s">
        <v>4</v>
      </c>
      <c r="B49" s="1">
        <f t="shared" si="0"/>
        <v>1.3</v>
      </c>
      <c r="C49" s="1" t="s">
        <v>121</v>
      </c>
      <c r="D49" s="1" t="s">
        <v>566</v>
      </c>
      <c r="E49" s="1"/>
      <c r="F49" s="16" t="s">
        <v>703</v>
      </c>
    </row>
    <row r="50" spans="1:6" ht="24.95" customHeight="1">
      <c r="A50" s="1" t="s">
        <v>2</v>
      </c>
      <c r="B50" s="1">
        <f t="shared" si="0"/>
        <v>1.4</v>
      </c>
      <c r="C50" s="1"/>
      <c r="D50" s="1" t="s">
        <v>126</v>
      </c>
      <c r="E50" s="1"/>
      <c r="F50" s="16" t="s">
        <v>703</v>
      </c>
    </row>
    <row r="51" spans="1:6" ht="24.95" customHeight="1">
      <c r="A51" s="1" t="s">
        <v>4</v>
      </c>
      <c r="B51" s="1">
        <f t="shared" si="0"/>
        <v>1.4</v>
      </c>
      <c r="C51" s="1" t="s">
        <v>125</v>
      </c>
      <c r="D51" s="1" t="s">
        <v>567</v>
      </c>
      <c r="E51" s="1"/>
      <c r="F51" s="16" t="s">
        <v>703</v>
      </c>
    </row>
    <row r="52" spans="1:6" ht="24.95" customHeight="1">
      <c r="A52" s="1" t="s">
        <v>2</v>
      </c>
      <c r="B52" s="1">
        <f t="shared" si="0"/>
        <v>1.5</v>
      </c>
      <c r="C52" s="1"/>
      <c r="D52" s="1" t="s">
        <v>131</v>
      </c>
      <c r="E52" s="1"/>
      <c r="F52" s="16" t="s">
        <v>703</v>
      </c>
    </row>
    <row r="53" spans="1:6" ht="24.95" customHeight="1">
      <c r="A53" s="1" t="s">
        <v>4</v>
      </c>
      <c r="B53" s="1">
        <f t="shared" si="0"/>
        <v>1.5</v>
      </c>
      <c r="C53" s="1" t="s">
        <v>130</v>
      </c>
      <c r="D53" s="1" t="s">
        <v>568</v>
      </c>
      <c r="E53" s="1"/>
      <c r="F53" s="16" t="s">
        <v>703</v>
      </c>
    </row>
    <row r="54" spans="1:6" ht="24.95" customHeight="1">
      <c r="A54" s="1" t="s">
        <v>2</v>
      </c>
      <c r="B54" s="1">
        <f t="shared" si="0"/>
        <v>1.6</v>
      </c>
      <c r="C54" s="1"/>
      <c r="D54" s="1" t="s">
        <v>135</v>
      </c>
      <c r="E54" s="1"/>
      <c r="F54" s="16" t="s">
        <v>703</v>
      </c>
    </row>
    <row r="55" spans="1:6" ht="24.95" customHeight="1">
      <c r="A55" s="1" t="s">
        <v>4</v>
      </c>
      <c r="B55" s="1">
        <f t="shared" si="0"/>
        <v>1.6</v>
      </c>
      <c r="C55" s="1" t="s">
        <v>134</v>
      </c>
      <c r="D55" s="1" t="s">
        <v>569</v>
      </c>
      <c r="E55" s="1"/>
      <c r="F55" s="16" t="s">
        <v>703</v>
      </c>
    </row>
    <row r="56" spans="1:6" ht="24.95" customHeight="1">
      <c r="A56" s="1" t="s">
        <v>2</v>
      </c>
      <c r="B56" s="1">
        <f t="shared" si="0"/>
        <v>1.7</v>
      </c>
      <c r="C56" s="1"/>
      <c r="D56" s="1" t="s">
        <v>138</v>
      </c>
      <c r="E56" s="1"/>
      <c r="F56" s="16" t="s">
        <v>703</v>
      </c>
    </row>
    <row r="57" spans="1:6" ht="24.95" customHeight="1">
      <c r="A57" s="1" t="s">
        <v>4</v>
      </c>
      <c r="B57" s="1">
        <f t="shared" si="0"/>
        <v>1.7</v>
      </c>
      <c r="C57" s="1" t="s">
        <v>137</v>
      </c>
      <c r="D57" s="1" t="s">
        <v>570</v>
      </c>
      <c r="E57" s="1"/>
      <c r="F57" s="16" t="s">
        <v>703</v>
      </c>
    </row>
    <row r="58" spans="1:6" ht="24.95" customHeight="1">
      <c r="A58" s="1" t="s">
        <v>529</v>
      </c>
      <c r="B58" s="1">
        <f t="shared" si="0"/>
        <v>2</v>
      </c>
      <c r="C58" s="1" t="s">
        <v>45</v>
      </c>
      <c r="D58" s="1" t="s">
        <v>46</v>
      </c>
      <c r="E58" s="1" t="s">
        <v>47</v>
      </c>
      <c r="F58" s="1" t="s">
        <v>701</v>
      </c>
    </row>
    <row r="59" spans="1:6" ht="24.95" customHeight="1">
      <c r="A59" s="1" t="s">
        <v>8</v>
      </c>
      <c r="B59" s="1">
        <f t="shared" si="0"/>
        <v>2</v>
      </c>
      <c r="C59" s="6" t="s">
        <v>493</v>
      </c>
      <c r="D59" s="7" t="s">
        <v>515</v>
      </c>
      <c r="E59" s="1"/>
      <c r="F59" s="1" t="s">
        <v>699</v>
      </c>
    </row>
    <row r="60" spans="1:6" ht="24.95" customHeight="1">
      <c r="A60" s="1" t="s">
        <v>2</v>
      </c>
      <c r="B60" s="1">
        <f t="shared" si="0"/>
        <v>2</v>
      </c>
      <c r="C60" s="8" t="s">
        <v>437</v>
      </c>
      <c r="D60" s="7" t="s">
        <v>556</v>
      </c>
      <c r="E60" s="1"/>
      <c r="F60" s="16" t="s">
        <v>703</v>
      </c>
    </row>
    <row r="61" spans="1:6" ht="24.95" customHeight="1">
      <c r="A61" s="1" t="s">
        <v>4</v>
      </c>
      <c r="B61" s="1">
        <f t="shared" si="0"/>
        <v>2</v>
      </c>
      <c r="C61" s="1" t="s">
        <v>13</v>
      </c>
      <c r="D61" s="7" t="s">
        <v>624</v>
      </c>
      <c r="E61" s="1"/>
      <c r="F61" s="16" t="s">
        <v>703</v>
      </c>
    </row>
    <row r="62" spans="1:6" ht="24.95" customHeight="1">
      <c r="A62" s="1" t="s">
        <v>2</v>
      </c>
      <c r="B62" s="1">
        <f t="shared" si="0"/>
        <v>2.1</v>
      </c>
      <c r="C62" s="8" t="s">
        <v>439</v>
      </c>
      <c r="D62" s="1" t="s">
        <v>144</v>
      </c>
      <c r="E62" s="1"/>
      <c r="F62" s="16" t="s">
        <v>703</v>
      </c>
    </row>
    <row r="63" spans="1:6" ht="24.95" customHeight="1">
      <c r="A63" s="1" t="s">
        <v>4</v>
      </c>
      <c r="B63" s="1">
        <f t="shared" si="0"/>
        <v>2.1</v>
      </c>
      <c r="C63" s="1" t="s">
        <v>26</v>
      </c>
      <c r="D63" s="1" t="s">
        <v>571</v>
      </c>
      <c r="E63" s="1"/>
      <c r="F63" s="16" t="s">
        <v>703</v>
      </c>
    </row>
    <row r="64" spans="1:6" ht="24.95" customHeight="1">
      <c r="A64" s="1" t="s">
        <v>2</v>
      </c>
      <c r="B64" s="1">
        <f t="shared" si="0"/>
        <v>2.2000000000000002</v>
      </c>
      <c r="C64" s="8" t="s">
        <v>442</v>
      </c>
      <c r="D64" s="1" t="s">
        <v>148</v>
      </c>
      <c r="E64" s="1"/>
      <c r="F64" s="16" t="s">
        <v>703</v>
      </c>
    </row>
    <row r="65" spans="1:6" ht="24.95" customHeight="1">
      <c r="A65" s="1" t="s">
        <v>4</v>
      </c>
      <c r="B65" s="1">
        <f t="shared" si="0"/>
        <v>2.2000000000000002</v>
      </c>
      <c r="C65" s="1" t="s">
        <v>44</v>
      </c>
      <c r="D65" s="1" t="s">
        <v>572</v>
      </c>
      <c r="E65" s="1"/>
      <c r="F65" s="16" t="s">
        <v>703</v>
      </c>
    </row>
    <row r="66" spans="1:6" ht="24.95" customHeight="1">
      <c r="A66" s="1" t="s">
        <v>2</v>
      </c>
      <c r="B66" s="1">
        <f t="shared" ref="B66:B129" si="1">VALUE(RIGHT(D66,LEN(D66)-LEN(A66)))</f>
        <v>2.2999999999999998</v>
      </c>
      <c r="C66" s="1"/>
      <c r="D66" s="1" t="s">
        <v>151</v>
      </c>
      <c r="E66" s="1"/>
      <c r="F66" s="16" t="s">
        <v>703</v>
      </c>
    </row>
    <row r="67" spans="1:6" ht="24.95" customHeight="1">
      <c r="A67" s="1" t="s">
        <v>4</v>
      </c>
      <c r="B67" s="1">
        <f t="shared" si="1"/>
        <v>2.2999999999999998</v>
      </c>
      <c r="C67" s="1" t="s">
        <v>59</v>
      </c>
      <c r="D67" s="1" t="s">
        <v>573</v>
      </c>
      <c r="E67" s="1"/>
      <c r="F67" s="16" t="s">
        <v>703</v>
      </c>
    </row>
    <row r="68" spans="1:6" ht="24.95" customHeight="1">
      <c r="A68" s="1" t="s">
        <v>2</v>
      </c>
      <c r="B68" s="1">
        <f t="shared" si="1"/>
        <v>2.4</v>
      </c>
      <c r="C68" s="1"/>
      <c r="D68" s="1" t="s">
        <v>154</v>
      </c>
      <c r="E68" s="1"/>
      <c r="F68" s="16" t="s">
        <v>703</v>
      </c>
    </row>
    <row r="69" spans="1:6" ht="24.95" customHeight="1">
      <c r="A69" s="1" t="s">
        <v>4</v>
      </c>
      <c r="B69" s="1">
        <f t="shared" si="1"/>
        <v>2.4</v>
      </c>
      <c r="C69" s="1" t="s">
        <v>69</v>
      </c>
      <c r="D69" s="1" t="s">
        <v>574</v>
      </c>
      <c r="E69" s="1"/>
      <c r="F69" s="16" t="s">
        <v>703</v>
      </c>
    </row>
    <row r="70" spans="1:6" ht="24.95" customHeight="1">
      <c r="A70" s="1" t="s">
        <v>2</v>
      </c>
      <c r="B70" s="1">
        <f t="shared" si="1"/>
        <v>2.5</v>
      </c>
      <c r="C70" s="1"/>
      <c r="D70" s="1" t="s">
        <v>157</v>
      </c>
      <c r="E70" s="1"/>
      <c r="F70" s="16" t="s">
        <v>703</v>
      </c>
    </row>
    <row r="71" spans="1:6" ht="24.95" customHeight="1">
      <c r="A71" s="1" t="s">
        <v>4</v>
      </c>
      <c r="B71" s="1">
        <f t="shared" si="1"/>
        <v>2.5</v>
      </c>
      <c r="C71" s="1" t="s">
        <v>78</v>
      </c>
      <c r="D71" s="1" t="s">
        <v>575</v>
      </c>
      <c r="E71" s="1"/>
      <c r="F71" s="16" t="s">
        <v>703</v>
      </c>
    </row>
    <row r="72" spans="1:6" ht="24.95" customHeight="1">
      <c r="A72" s="1" t="s">
        <v>2</v>
      </c>
      <c r="B72" s="1">
        <f t="shared" si="1"/>
        <v>2.6</v>
      </c>
      <c r="C72" s="1"/>
      <c r="D72" s="1" t="s">
        <v>161</v>
      </c>
      <c r="E72" s="1"/>
      <c r="F72" s="16" t="s">
        <v>703</v>
      </c>
    </row>
    <row r="73" spans="1:6" ht="24.95" customHeight="1">
      <c r="A73" s="1" t="s">
        <v>4</v>
      </c>
      <c r="B73" s="1">
        <f t="shared" si="1"/>
        <v>2.6</v>
      </c>
      <c r="C73" s="1" t="s">
        <v>89</v>
      </c>
      <c r="D73" s="1" t="s">
        <v>576</v>
      </c>
      <c r="E73" s="1"/>
      <c r="F73" s="16" t="s">
        <v>703</v>
      </c>
    </row>
    <row r="74" spans="1:6" ht="24.95" customHeight="1">
      <c r="A74" s="1" t="s">
        <v>2</v>
      </c>
      <c r="B74" s="1">
        <f t="shared" si="1"/>
        <v>2.7</v>
      </c>
      <c r="C74" s="1"/>
      <c r="D74" s="1" t="s">
        <v>165</v>
      </c>
      <c r="E74" s="1"/>
      <c r="F74" s="16" t="s">
        <v>703</v>
      </c>
    </row>
    <row r="75" spans="1:6" ht="24.95" customHeight="1">
      <c r="A75" s="1" t="s">
        <v>4</v>
      </c>
      <c r="B75" s="1">
        <f t="shared" si="1"/>
        <v>2.7</v>
      </c>
      <c r="C75" s="1" t="s">
        <v>97</v>
      </c>
      <c r="D75" s="1" t="s">
        <v>577</v>
      </c>
      <c r="E75" s="1"/>
      <c r="F75" s="16" t="s">
        <v>703</v>
      </c>
    </row>
    <row r="76" spans="1:6" ht="24.95" customHeight="1">
      <c r="A76" s="1" t="s">
        <v>8</v>
      </c>
      <c r="B76" s="1">
        <f t="shared" si="1"/>
        <v>3</v>
      </c>
      <c r="C76" s="6" t="s">
        <v>494</v>
      </c>
      <c r="D76" s="7" t="s">
        <v>516</v>
      </c>
      <c r="E76" s="1"/>
      <c r="F76" s="1" t="s">
        <v>699</v>
      </c>
    </row>
    <row r="77" spans="1:6" ht="24.95" customHeight="1">
      <c r="A77" s="1" t="s">
        <v>2</v>
      </c>
      <c r="B77" s="1">
        <f t="shared" si="1"/>
        <v>3</v>
      </c>
      <c r="C77" s="8" t="s">
        <v>438</v>
      </c>
      <c r="D77" s="7" t="s">
        <v>544</v>
      </c>
      <c r="E77" s="1"/>
      <c r="F77" s="16" t="s">
        <v>703</v>
      </c>
    </row>
    <row r="78" spans="1:6" ht="24.95" customHeight="1">
      <c r="A78" s="1" t="s">
        <v>4</v>
      </c>
      <c r="B78" s="1">
        <f t="shared" si="1"/>
        <v>3</v>
      </c>
      <c r="C78" s="5" t="s">
        <v>422</v>
      </c>
      <c r="D78" s="7" t="s">
        <v>625</v>
      </c>
      <c r="E78" s="1"/>
      <c r="F78" s="16" t="s">
        <v>703</v>
      </c>
    </row>
    <row r="79" spans="1:6" ht="24.95" customHeight="1">
      <c r="A79" s="1" t="s">
        <v>2</v>
      </c>
      <c r="B79" s="1">
        <f t="shared" si="1"/>
        <v>3.1</v>
      </c>
      <c r="C79" s="8" t="s">
        <v>440</v>
      </c>
      <c r="D79" s="1" t="s">
        <v>169</v>
      </c>
      <c r="E79" s="1"/>
      <c r="F79" s="16" t="s">
        <v>703</v>
      </c>
    </row>
    <row r="80" spans="1:6" ht="24.95" customHeight="1">
      <c r="A80" s="1" t="s">
        <v>4</v>
      </c>
      <c r="B80" s="1">
        <f t="shared" si="1"/>
        <v>3.1</v>
      </c>
      <c r="C80" s="5" t="s">
        <v>423</v>
      </c>
      <c r="D80" s="1" t="s">
        <v>578</v>
      </c>
      <c r="E80" s="1"/>
      <c r="F80" s="16" t="s">
        <v>703</v>
      </c>
    </row>
    <row r="81" spans="1:6" ht="24.95" customHeight="1">
      <c r="A81" s="1" t="s">
        <v>2</v>
      </c>
      <c r="B81" s="1">
        <f t="shared" si="1"/>
        <v>3.2</v>
      </c>
      <c r="C81" s="8" t="s">
        <v>441</v>
      </c>
      <c r="D81" s="1" t="s">
        <v>174</v>
      </c>
      <c r="E81" s="1"/>
      <c r="F81" s="16" t="s">
        <v>703</v>
      </c>
    </row>
    <row r="82" spans="1:6" ht="24.95" customHeight="1">
      <c r="A82" s="1" t="s">
        <v>2</v>
      </c>
      <c r="B82" s="1">
        <f t="shared" si="1"/>
        <v>3.3</v>
      </c>
      <c r="C82" s="1"/>
      <c r="D82" s="1" t="s">
        <v>179</v>
      </c>
      <c r="E82" s="1"/>
      <c r="F82" s="16" t="s">
        <v>703</v>
      </c>
    </row>
    <row r="83" spans="1:6" ht="24.95" customHeight="1">
      <c r="A83" s="1" t="s">
        <v>2</v>
      </c>
      <c r="B83" s="1">
        <f t="shared" si="1"/>
        <v>3.4</v>
      </c>
      <c r="C83" s="1"/>
      <c r="D83" s="1" t="s">
        <v>183</v>
      </c>
      <c r="E83" s="1"/>
      <c r="F83" s="16" t="s">
        <v>703</v>
      </c>
    </row>
    <row r="84" spans="1:6" ht="24.95" customHeight="1">
      <c r="A84" s="1" t="s">
        <v>2</v>
      </c>
      <c r="B84" s="1">
        <f t="shared" si="1"/>
        <v>3.5</v>
      </c>
      <c r="C84" s="1"/>
      <c r="D84" s="1" t="s">
        <v>188</v>
      </c>
      <c r="E84" s="1"/>
      <c r="F84" s="16" t="s">
        <v>703</v>
      </c>
    </row>
    <row r="85" spans="1:6" ht="24.95" customHeight="1">
      <c r="A85" s="1" t="s">
        <v>2</v>
      </c>
      <c r="B85" s="1">
        <f t="shared" si="1"/>
        <v>3.6</v>
      </c>
      <c r="C85" s="1"/>
      <c r="D85" s="1" t="s">
        <v>193</v>
      </c>
      <c r="E85" s="1"/>
      <c r="F85" s="16" t="s">
        <v>703</v>
      </c>
    </row>
    <row r="86" spans="1:6" ht="24.95" customHeight="1">
      <c r="A86" s="1" t="s">
        <v>2</v>
      </c>
      <c r="B86" s="1">
        <f t="shared" si="1"/>
        <v>3.7</v>
      </c>
      <c r="C86" s="1"/>
      <c r="D86" s="1" t="s">
        <v>197</v>
      </c>
      <c r="E86" s="1"/>
      <c r="F86" s="16" t="s">
        <v>703</v>
      </c>
    </row>
    <row r="87" spans="1:6" ht="24.95" customHeight="1">
      <c r="A87" s="1" t="s">
        <v>8</v>
      </c>
      <c r="B87" s="1">
        <f t="shared" si="1"/>
        <v>4</v>
      </c>
      <c r="C87" s="6" t="s">
        <v>495</v>
      </c>
      <c r="D87" s="7" t="s">
        <v>517</v>
      </c>
      <c r="E87" s="1"/>
      <c r="F87" s="1" t="s">
        <v>699</v>
      </c>
    </row>
    <row r="88" spans="1:6" ht="24.95" customHeight="1">
      <c r="A88" s="1" t="s">
        <v>2</v>
      </c>
      <c r="B88" s="1">
        <f t="shared" si="1"/>
        <v>4</v>
      </c>
      <c r="C88" s="1" t="s">
        <v>505</v>
      </c>
      <c r="D88" s="7" t="s">
        <v>545</v>
      </c>
      <c r="E88" s="1"/>
      <c r="F88" s="16" t="s">
        <v>703</v>
      </c>
    </row>
    <row r="89" spans="1:6" ht="24.95" customHeight="1">
      <c r="A89" s="1" t="s">
        <v>2</v>
      </c>
      <c r="B89" s="1">
        <f t="shared" si="1"/>
        <v>4.0999999999999996</v>
      </c>
      <c r="C89" s="1"/>
      <c r="D89" s="1" t="s">
        <v>203</v>
      </c>
      <c r="E89" s="1"/>
      <c r="F89" s="16" t="s">
        <v>703</v>
      </c>
    </row>
    <row r="90" spans="1:6" ht="24.95" customHeight="1">
      <c r="A90" s="1" t="s">
        <v>2</v>
      </c>
      <c r="B90" s="1">
        <f t="shared" si="1"/>
        <v>4.2</v>
      </c>
      <c r="C90" s="1"/>
      <c r="D90" s="1" t="s">
        <v>207</v>
      </c>
      <c r="E90" s="1"/>
      <c r="F90" s="16" t="s">
        <v>703</v>
      </c>
    </row>
    <row r="91" spans="1:6" ht="24.95" customHeight="1">
      <c r="A91" s="1" t="s">
        <v>2</v>
      </c>
      <c r="B91" s="1">
        <f t="shared" si="1"/>
        <v>4.3</v>
      </c>
      <c r="C91" s="1"/>
      <c r="D91" s="1" t="s">
        <v>211</v>
      </c>
      <c r="E91" s="1"/>
      <c r="F91" s="16" t="s">
        <v>703</v>
      </c>
    </row>
    <row r="92" spans="1:6" ht="24.95" customHeight="1">
      <c r="A92" s="1" t="s">
        <v>2</v>
      </c>
      <c r="B92" s="1">
        <f t="shared" si="1"/>
        <v>4.4000000000000004</v>
      </c>
      <c r="C92" s="1"/>
      <c r="D92" s="1" t="s">
        <v>215</v>
      </c>
      <c r="E92" s="1"/>
      <c r="F92" s="16" t="s">
        <v>703</v>
      </c>
    </row>
    <row r="93" spans="1:6" ht="24.95" customHeight="1">
      <c r="A93" s="1" t="s">
        <v>2</v>
      </c>
      <c r="B93" s="1">
        <f t="shared" si="1"/>
        <v>4.5</v>
      </c>
      <c r="C93" s="1"/>
      <c r="D93" s="1" t="s">
        <v>219</v>
      </c>
      <c r="E93" s="1"/>
      <c r="F93" s="16" t="s">
        <v>703</v>
      </c>
    </row>
    <row r="94" spans="1:6" ht="24.95" customHeight="1">
      <c r="A94" s="1" t="s">
        <v>2</v>
      </c>
      <c r="B94" s="1">
        <f t="shared" si="1"/>
        <v>4.5999999999999996</v>
      </c>
      <c r="C94" s="1"/>
      <c r="D94" s="1" t="s">
        <v>223</v>
      </c>
      <c r="E94" s="1"/>
      <c r="F94" s="16" t="s">
        <v>703</v>
      </c>
    </row>
    <row r="95" spans="1:6" ht="24.95" customHeight="1">
      <c r="A95" s="1" t="s">
        <v>2</v>
      </c>
      <c r="B95" s="1">
        <f t="shared" si="1"/>
        <v>4.7</v>
      </c>
      <c r="C95" s="1"/>
      <c r="D95" s="1" t="s">
        <v>227</v>
      </c>
      <c r="E95" s="1"/>
      <c r="F95" s="16" t="s">
        <v>703</v>
      </c>
    </row>
    <row r="96" spans="1:6" ht="24.95" customHeight="1">
      <c r="A96" s="1" t="s">
        <v>8</v>
      </c>
      <c r="B96" s="1">
        <f t="shared" si="1"/>
        <v>5</v>
      </c>
      <c r="C96" s="6" t="s">
        <v>496</v>
      </c>
      <c r="D96" s="7" t="s">
        <v>518</v>
      </c>
      <c r="E96" s="1"/>
      <c r="F96" s="1" t="s">
        <v>699</v>
      </c>
    </row>
    <row r="97" spans="1:6" ht="24.95" customHeight="1">
      <c r="A97" s="1" t="s">
        <v>2</v>
      </c>
      <c r="B97" s="1">
        <f t="shared" si="1"/>
        <v>5</v>
      </c>
      <c r="C97" s="1"/>
      <c r="D97" s="7" t="s">
        <v>546</v>
      </c>
      <c r="E97" s="1"/>
      <c r="F97" s="16" t="s">
        <v>703</v>
      </c>
    </row>
    <row r="98" spans="1:6" ht="24.95" customHeight="1">
      <c r="A98" s="1" t="s">
        <v>2</v>
      </c>
      <c r="B98" s="1">
        <f t="shared" si="1"/>
        <v>5.0999999999999996</v>
      </c>
      <c r="C98" s="1"/>
      <c r="D98" s="1" t="s">
        <v>234</v>
      </c>
      <c r="E98" s="1"/>
      <c r="F98" s="16" t="s">
        <v>703</v>
      </c>
    </row>
    <row r="99" spans="1:6" ht="24.95" customHeight="1">
      <c r="A99" s="1" t="s">
        <v>2</v>
      </c>
      <c r="B99" s="1">
        <f t="shared" si="1"/>
        <v>5.2</v>
      </c>
      <c r="C99" s="1"/>
      <c r="D99" s="1" t="s">
        <v>238</v>
      </c>
      <c r="E99" s="1"/>
      <c r="F99" s="16" t="s">
        <v>703</v>
      </c>
    </row>
    <row r="100" spans="1:6" ht="24.95" customHeight="1">
      <c r="A100" s="1" t="s">
        <v>2</v>
      </c>
      <c r="B100" s="1">
        <f t="shared" si="1"/>
        <v>5.3</v>
      </c>
      <c r="C100" s="1"/>
      <c r="D100" s="1" t="s">
        <v>241</v>
      </c>
      <c r="E100" s="1"/>
      <c r="F100" s="16" t="s">
        <v>703</v>
      </c>
    </row>
    <row r="101" spans="1:6" ht="24.95" customHeight="1">
      <c r="A101" s="1" t="s">
        <v>2</v>
      </c>
      <c r="B101" s="1">
        <f t="shared" si="1"/>
        <v>5.4</v>
      </c>
      <c r="C101" s="1"/>
      <c r="D101" s="1" t="s">
        <v>244</v>
      </c>
      <c r="E101" s="1"/>
      <c r="F101" s="16" t="s">
        <v>703</v>
      </c>
    </row>
    <row r="102" spans="1:6" ht="24.95" customHeight="1">
      <c r="A102" s="1" t="s">
        <v>2</v>
      </c>
      <c r="B102" s="1">
        <f t="shared" si="1"/>
        <v>5.5</v>
      </c>
      <c r="C102" s="1"/>
      <c r="D102" s="1" t="s">
        <v>247</v>
      </c>
      <c r="E102" s="1"/>
      <c r="F102" s="16" t="s">
        <v>703</v>
      </c>
    </row>
    <row r="103" spans="1:6" ht="24.95" customHeight="1">
      <c r="A103" s="1" t="s">
        <v>2</v>
      </c>
      <c r="B103" s="1">
        <f t="shared" si="1"/>
        <v>5.6</v>
      </c>
      <c r="C103" s="1"/>
      <c r="D103" s="1" t="s">
        <v>250</v>
      </c>
      <c r="E103" s="1"/>
      <c r="F103" s="16" t="s">
        <v>703</v>
      </c>
    </row>
    <row r="104" spans="1:6" ht="24.95" customHeight="1">
      <c r="A104" s="1" t="s">
        <v>2</v>
      </c>
      <c r="B104" s="1">
        <f t="shared" si="1"/>
        <v>5.7</v>
      </c>
      <c r="C104" s="1"/>
      <c r="D104" s="1" t="s">
        <v>253</v>
      </c>
      <c r="E104" s="1"/>
      <c r="F104" s="16" t="s">
        <v>703</v>
      </c>
    </row>
    <row r="105" spans="1:6" ht="24.95" customHeight="1">
      <c r="A105" s="1" t="s">
        <v>2</v>
      </c>
      <c r="B105" s="1">
        <f t="shared" si="1"/>
        <v>6</v>
      </c>
      <c r="C105" s="1"/>
      <c r="D105" s="7" t="s">
        <v>547</v>
      </c>
      <c r="E105" s="1"/>
      <c r="F105" s="16" t="s">
        <v>703</v>
      </c>
    </row>
    <row r="106" spans="1:6" ht="24.95" customHeight="1">
      <c r="A106" s="1" t="s">
        <v>2</v>
      </c>
      <c r="B106" s="1">
        <f t="shared" si="1"/>
        <v>6.1</v>
      </c>
      <c r="C106" s="1"/>
      <c r="D106" s="1" t="s">
        <v>258</v>
      </c>
      <c r="E106" s="1"/>
      <c r="F106" s="16" t="s">
        <v>703</v>
      </c>
    </row>
    <row r="107" spans="1:6" ht="24.95" customHeight="1">
      <c r="A107" s="1" t="s">
        <v>2</v>
      </c>
      <c r="B107" s="1">
        <f t="shared" si="1"/>
        <v>6.2</v>
      </c>
      <c r="C107" s="1"/>
      <c r="D107" s="1" t="s">
        <v>261</v>
      </c>
      <c r="E107" s="1"/>
      <c r="F107" s="16" t="s">
        <v>703</v>
      </c>
    </row>
    <row r="108" spans="1:6" ht="24.95" customHeight="1">
      <c r="A108" s="1" t="s">
        <v>2</v>
      </c>
      <c r="B108" s="1">
        <f t="shared" si="1"/>
        <v>6.3</v>
      </c>
      <c r="C108" s="1"/>
      <c r="D108" s="1" t="s">
        <v>264</v>
      </c>
      <c r="E108" s="1"/>
      <c r="F108" s="16" t="s">
        <v>703</v>
      </c>
    </row>
    <row r="109" spans="1:6" ht="24.95" customHeight="1">
      <c r="A109" s="1" t="s">
        <v>2</v>
      </c>
      <c r="B109" s="1">
        <f t="shared" si="1"/>
        <v>6.4</v>
      </c>
      <c r="C109" s="1"/>
      <c r="D109" s="1" t="s">
        <v>267</v>
      </c>
      <c r="E109" s="1"/>
      <c r="F109" s="16" t="s">
        <v>703</v>
      </c>
    </row>
    <row r="110" spans="1:6" ht="24.95" customHeight="1">
      <c r="A110" s="1" t="s">
        <v>2</v>
      </c>
      <c r="B110" s="1">
        <f t="shared" si="1"/>
        <v>6.5</v>
      </c>
      <c r="C110" s="1"/>
      <c r="D110" s="1" t="s">
        <v>270</v>
      </c>
      <c r="E110" s="1"/>
      <c r="F110" s="16" t="s">
        <v>703</v>
      </c>
    </row>
    <row r="111" spans="1:6" ht="24.95" customHeight="1">
      <c r="A111" s="1" t="s">
        <v>2</v>
      </c>
      <c r="B111" s="1">
        <f t="shared" si="1"/>
        <v>6.6</v>
      </c>
      <c r="C111" s="1"/>
      <c r="D111" s="1" t="s">
        <v>273</v>
      </c>
      <c r="E111" s="1"/>
      <c r="F111" s="16" t="s">
        <v>703</v>
      </c>
    </row>
    <row r="112" spans="1:6" ht="24.95" customHeight="1">
      <c r="A112" s="1" t="s">
        <v>2</v>
      </c>
      <c r="B112" s="1">
        <f t="shared" si="1"/>
        <v>6.7</v>
      </c>
      <c r="C112" s="1"/>
      <c r="D112" s="1" t="s">
        <v>276</v>
      </c>
      <c r="E112" s="1"/>
      <c r="F112" s="16" t="s">
        <v>703</v>
      </c>
    </row>
    <row r="113" spans="1:6" ht="24.95" customHeight="1">
      <c r="A113" s="1" t="s">
        <v>2</v>
      </c>
      <c r="B113" s="1">
        <f t="shared" si="1"/>
        <v>7</v>
      </c>
      <c r="C113" s="1"/>
      <c r="D113" s="7" t="s">
        <v>548</v>
      </c>
      <c r="E113" s="1"/>
      <c r="F113" s="16" t="s">
        <v>703</v>
      </c>
    </row>
    <row r="114" spans="1:6" ht="24.95" customHeight="1">
      <c r="A114" s="1" t="s">
        <v>2</v>
      </c>
      <c r="B114" s="1">
        <f t="shared" si="1"/>
        <v>7.1</v>
      </c>
      <c r="C114" s="1"/>
      <c r="D114" s="1" t="s">
        <v>281</v>
      </c>
      <c r="E114" s="1"/>
      <c r="F114" s="16" t="s">
        <v>703</v>
      </c>
    </row>
    <row r="115" spans="1:6" ht="24.95" customHeight="1">
      <c r="A115" s="1" t="s">
        <v>2</v>
      </c>
      <c r="B115" s="1">
        <f t="shared" si="1"/>
        <v>7.2</v>
      </c>
      <c r="C115" s="1"/>
      <c r="D115" s="1" t="s">
        <v>284</v>
      </c>
      <c r="E115" s="1"/>
      <c r="F115" s="16" t="s">
        <v>703</v>
      </c>
    </row>
    <row r="116" spans="1:6" ht="24.95" customHeight="1">
      <c r="A116" s="1" t="s">
        <v>2</v>
      </c>
      <c r="B116" s="1">
        <f t="shared" si="1"/>
        <v>7.3</v>
      </c>
      <c r="C116" s="1"/>
      <c r="D116" s="1" t="s">
        <v>288</v>
      </c>
      <c r="E116" s="1"/>
      <c r="F116" s="16" t="s">
        <v>703</v>
      </c>
    </row>
    <row r="117" spans="1:6" ht="24.95" customHeight="1">
      <c r="A117" s="1" t="s">
        <v>2</v>
      </c>
      <c r="B117" s="1">
        <f t="shared" si="1"/>
        <v>7.4</v>
      </c>
      <c r="C117" s="1"/>
      <c r="D117" s="1" t="s">
        <v>291</v>
      </c>
      <c r="E117" s="1"/>
      <c r="F117" s="16" t="s">
        <v>703</v>
      </c>
    </row>
    <row r="118" spans="1:6" ht="24.95" customHeight="1">
      <c r="A118" s="1" t="s">
        <v>2</v>
      </c>
      <c r="B118" s="1">
        <f t="shared" si="1"/>
        <v>7.5</v>
      </c>
      <c r="C118" s="1"/>
      <c r="D118" s="1" t="s">
        <v>294</v>
      </c>
      <c r="E118" s="1"/>
      <c r="F118" s="16" t="s">
        <v>703</v>
      </c>
    </row>
    <row r="119" spans="1:6" ht="24.95" customHeight="1">
      <c r="A119" s="1" t="s">
        <v>2</v>
      </c>
      <c r="B119" s="1">
        <f t="shared" si="1"/>
        <v>7.6</v>
      </c>
      <c r="C119" s="1"/>
      <c r="D119" s="1" t="s">
        <v>297</v>
      </c>
      <c r="E119" s="1"/>
      <c r="F119" s="16" t="s">
        <v>703</v>
      </c>
    </row>
    <row r="120" spans="1:6" ht="24.95" customHeight="1">
      <c r="A120" s="1" t="s">
        <v>2</v>
      </c>
      <c r="B120" s="1">
        <f t="shared" si="1"/>
        <v>7.7</v>
      </c>
      <c r="C120" s="1"/>
      <c r="D120" s="1" t="s">
        <v>300</v>
      </c>
      <c r="E120" s="1"/>
      <c r="F120" s="16" t="s">
        <v>703</v>
      </c>
    </row>
    <row r="121" spans="1:6" ht="24.95" customHeight="1">
      <c r="A121" s="1" t="s">
        <v>2</v>
      </c>
      <c r="B121" s="1">
        <f t="shared" si="1"/>
        <v>8</v>
      </c>
      <c r="C121" s="1"/>
      <c r="D121" s="7" t="s">
        <v>550</v>
      </c>
      <c r="E121" s="1"/>
      <c r="F121" s="16" t="s">
        <v>703</v>
      </c>
    </row>
    <row r="122" spans="1:6" ht="24.95" customHeight="1">
      <c r="A122" s="1" t="s">
        <v>2</v>
      </c>
      <c r="B122" s="1">
        <f t="shared" si="1"/>
        <v>8.1</v>
      </c>
      <c r="C122" s="1"/>
      <c r="D122" s="1" t="s">
        <v>305</v>
      </c>
      <c r="E122" s="1"/>
      <c r="F122" s="16" t="s">
        <v>703</v>
      </c>
    </row>
    <row r="123" spans="1:6" ht="24.95" customHeight="1">
      <c r="A123" s="1" t="s">
        <v>2</v>
      </c>
      <c r="B123" s="1">
        <f t="shared" si="1"/>
        <v>8.1999999999999993</v>
      </c>
      <c r="C123" s="1"/>
      <c r="D123" s="1" t="s">
        <v>309</v>
      </c>
      <c r="E123" s="1"/>
      <c r="F123" s="16" t="s">
        <v>703</v>
      </c>
    </row>
    <row r="124" spans="1:6" ht="24.95" customHeight="1">
      <c r="A124" s="1" t="s">
        <v>2</v>
      </c>
      <c r="B124" s="1">
        <f t="shared" si="1"/>
        <v>8.3000000000000007</v>
      </c>
      <c r="C124" s="1"/>
      <c r="D124" s="1" t="s">
        <v>312</v>
      </c>
      <c r="E124" s="1"/>
      <c r="F124" s="16" t="s">
        <v>703</v>
      </c>
    </row>
    <row r="125" spans="1:6" ht="24.95" customHeight="1">
      <c r="A125" s="1" t="s">
        <v>2</v>
      </c>
      <c r="B125" s="1">
        <f t="shared" si="1"/>
        <v>8.4</v>
      </c>
      <c r="C125" s="1"/>
      <c r="D125" s="1" t="s">
        <v>315</v>
      </c>
      <c r="E125" s="1"/>
      <c r="F125" s="16" t="s">
        <v>703</v>
      </c>
    </row>
    <row r="126" spans="1:6" ht="24.95" customHeight="1">
      <c r="A126" s="1" t="s">
        <v>2</v>
      </c>
      <c r="B126" s="1">
        <f t="shared" si="1"/>
        <v>8.5</v>
      </c>
      <c r="C126" s="1"/>
      <c r="D126" s="1" t="s">
        <v>318</v>
      </c>
      <c r="E126" s="1"/>
      <c r="F126" s="16" t="s">
        <v>703</v>
      </c>
    </row>
    <row r="127" spans="1:6" ht="24.95" customHeight="1">
      <c r="A127" s="1" t="s">
        <v>2</v>
      </c>
      <c r="B127" s="1">
        <f t="shared" si="1"/>
        <v>8.6</v>
      </c>
      <c r="C127" s="1"/>
      <c r="D127" s="1" t="s">
        <v>321</v>
      </c>
      <c r="E127" s="1"/>
      <c r="F127" s="16" t="s">
        <v>703</v>
      </c>
    </row>
    <row r="128" spans="1:6" ht="24.95" customHeight="1">
      <c r="A128" s="1" t="s">
        <v>2</v>
      </c>
      <c r="B128" s="1">
        <f t="shared" si="1"/>
        <v>8.6999999999999993</v>
      </c>
      <c r="C128" s="1"/>
      <c r="D128" s="1" t="s">
        <v>323</v>
      </c>
      <c r="E128" s="1"/>
      <c r="F128" s="16" t="s">
        <v>703</v>
      </c>
    </row>
    <row r="129" spans="1:6" ht="24.95" customHeight="1">
      <c r="A129" s="1" t="s">
        <v>2</v>
      </c>
      <c r="B129" s="1">
        <f t="shared" si="1"/>
        <v>9</v>
      </c>
      <c r="C129" s="1"/>
      <c r="D129" s="7" t="s">
        <v>549</v>
      </c>
      <c r="E129" s="1"/>
      <c r="F129" s="16" t="s">
        <v>703</v>
      </c>
    </row>
    <row r="130" spans="1:6" ht="24.95" customHeight="1">
      <c r="A130" s="1" t="s">
        <v>2</v>
      </c>
      <c r="B130" s="1">
        <f t="shared" ref="B130:B193" si="2">VALUE(RIGHT(D130,LEN(D130)-LEN(A130)))</f>
        <v>9.1</v>
      </c>
      <c r="C130" s="1"/>
      <c r="D130" s="1" t="s">
        <v>328</v>
      </c>
      <c r="E130" s="1"/>
      <c r="F130" s="16" t="s">
        <v>703</v>
      </c>
    </row>
    <row r="131" spans="1:6" ht="24.95" customHeight="1">
      <c r="A131" s="1" t="s">
        <v>2</v>
      </c>
      <c r="B131" s="1">
        <f t="shared" si="2"/>
        <v>9.1999999999999993</v>
      </c>
      <c r="C131" s="1"/>
      <c r="D131" s="1" t="s">
        <v>332</v>
      </c>
      <c r="E131" s="1"/>
      <c r="F131" s="16" t="s">
        <v>703</v>
      </c>
    </row>
    <row r="132" spans="1:6" ht="24.95" customHeight="1">
      <c r="A132" s="1" t="s">
        <v>2</v>
      </c>
      <c r="B132" s="1">
        <f t="shared" si="2"/>
        <v>9.3000000000000007</v>
      </c>
      <c r="C132" s="1"/>
      <c r="D132" s="1" t="s">
        <v>336</v>
      </c>
      <c r="E132" s="1"/>
      <c r="F132" s="16" t="s">
        <v>703</v>
      </c>
    </row>
    <row r="133" spans="1:6" ht="24.95" customHeight="1">
      <c r="A133" s="1" t="s">
        <v>2</v>
      </c>
      <c r="B133" s="1">
        <f t="shared" si="2"/>
        <v>9.4</v>
      </c>
      <c r="C133" s="1"/>
      <c r="D133" s="1" t="s">
        <v>340</v>
      </c>
      <c r="E133" s="1"/>
      <c r="F133" s="16" t="s">
        <v>703</v>
      </c>
    </row>
    <row r="134" spans="1:6" ht="24.95" customHeight="1">
      <c r="A134" s="1" t="s">
        <v>2</v>
      </c>
      <c r="B134" s="1">
        <f t="shared" si="2"/>
        <v>9.5</v>
      </c>
      <c r="C134" s="1"/>
      <c r="D134" s="1" t="s">
        <v>344</v>
      </c>
      <c r="E134" s="1"/>
      <c r="F134" s="16" t="s">
        <v>703</v>
      </c>
    </row>
    <row r="135" spans="1:6" ht="24.95" customHeight="1">
      <c r="A135" s="1" t="s">
        <v>2</v>
      </c>
      <c r="B135" s="1">
        <f t="shared" si="2"/>
        <v>9.6</v>
      </c>
      <c r="C135" s="1"/>
      <c r="D135" s="1" t="s">
        <v>347</v>
      </c>
      <c r="E135" s="1"/>
      <c r="F135" s="16" t="s">
        <v>703</v>
      </c>
    </row>
    <row r="136" spans="1:6" ht="24.95" customHeight="1">
      <c r="A136" s="1" t="s">
        <v>2</v>
      </c>
      <c r="B136" s="1">
        <f t="shared" si="2"/>
        <v>9.6999999999999993</v>
      </c>
      <c r="C136" s="1"/>
      <c r="D136" s="1" t="s">
        <v>350</v>
      </c>
      <c r="E136" s="1"/>
      <c r="F136" s="16" t="s">
        <v>703</v>
      </c>
    </row>
    <row r="137" spans="1:6" ht="24.95" customHeight="1">
      <c r="A137" s="1" t="s">
        <v>2</v>
      </c>
      <c r="B137" s="1">
        <f t="shared" si="2"/>
        <v>10</v>
      </c>
      <c r="C137" s="1"/>
      <c r="D137" s="7" t="s">
        <v>551</v>
      </c>
      <c r="E137" s="1"/>
      <c r="F137" s="16" t="s">
        <v>703</v>
      </c>
    </row>
    <row r="138" spans="1:6" ht="24.95" customHeight="1">
      <c r="A138" s="1" t="s">
        <v>2</v>
      </c>
      <c r="B138" s="1">
        <f t="shared" si="2"/>
        <v>10.1</v>
      </c>
      <c r="C138" s="1"/>
      <c r="D138" s="1" t="s">
        <v>356</v>
      </c>
      <c r="E138" s="1"/>
      <c r="F138" s="16" t="s">
        <v>703</v>
      </c>
    </row>
    <row r="139" spans="1:6" ht="24.95" customHeight="1">
      <c r="A139" s="1" t="s">
        <v>2</v>
      </c>
      <c r="B139" s="1">
        <f t="shared" si="2"/>
        <v>10.199999999999999</v>
      </c>
      <c r="C139" s="1"/>
      <c r="D139" s="1" t="s">
        <v>360</v>
      </c>
      <c r="E139" s="1"/>
      <c r="F139" s="16" t="s">
        <v>703</v>
      </c>
    </row>
    <row r="140" spans="1:6" ht="24.95" customHeight="1">
      <c r="A140" s="1" t="s">
        <v>2</v>
      </c>
      <c r="B140" s="1">
        <f t="shared" si="2"/>
        <v>10.3</v>
      </c>
      <c r="C140" s="1"/>
      <c r="D140" s="1" t="s">
        <v>362</v>
      </c>
      <c r="E140" s="1"/>
      <c r="F140" s="16" t="s">
        <v>703</v>
      </c>
    </row>
    <row r="141" spans="1:6" ht="24.95" customHeight="1">
      <c r="A141" s="1" t="s">
        <v>2</v>
      </c>
      <c r="B141" s="1">
        <f t="shared" si="2"/>
        <v>10.4</v>
      </c>
      <c r="C141" s="1"/>
      <c r="D141" s="1" t="s">
        <v>364</v>
      </c>
      <c r="E141" s="1"/>
      <c r="F141" s="16" t="s">
        <v>703</v>
      </c>
    </row>
    <row r="142" spans="1:6" ht="24.95" customHeight="1">
      <c r="A142" s="1" t="s">
        <v>2</v>
      </c>
      <c r="B142" s="1">
        <f t="shared" si="2"/>
        <v>10.5</v>
      </c>
      <c r="C142" s="1"/>
      <c r="D142" s="1" t="s">
        <v>366</v>
      </c>
      <c r="E142" s="1"/>
      <c r="F142" s="16" t="s">
        <v>703</v>
      </c>
    </row>
    <row r="143" spans="1:6" ht="24.95" customHeight="1">
      <c r="A143" s="1" t="s">
        <v>2</v>
      </c>
      <c r="B143" s="1">
        <f t="shared" si="2"/>
        <v>10.6</v>
      </c>
      <c r="C143" s="1"/>
      <c r="D143" s="1" t="s">
        <v>368</v>
      </c>
      <c r="E143" s="1"/>
      <c r="F143" s="16" t="s">
        <v>703</v>
      </c>
    </row>
    <row r="144" spans="1:6" ht="24.95" customHeight="1">
      <c r="A144" s="1" t="s">
        <v>2</v>
      </c>
      <c r="B144" s="1">
        <f t="shared" si="2"/>
        <v>10.7</v>
      </c>
      <c r="C144" s="1"/>
      <c r="D144" s="1" t="s">
        <v>370</v>
      </c>
      <c r="E144" s="1"/>
      <c r="F144" s="16" t="s">
        <v>703</v>
      </c>
    </row>
    <row r="145" spans="1:6" ht="24.95" customHeight="1">
      <c r="A145" s="1" t="s">
        <v>2</v>
      </c>
      <c r="B145" s="1">
        <f t="shared" si="2"/>
        <v>11</v>
      </c>
      <c r="C145" s="1"/>
      <c r="D145" s="7" t="s">
        <v>552</v>
      </c>
      <c r="E145" s="1"/>
      <c r="F145" s="16" t="s">
        <v>703</v>
      </c>
    </row>
    <row r="146" spans="1:6" ht="24.95" customHeight="1">
      <c r="A146" s="1" t="s">
        <v>2</v>
      </c>
      <c r="B146" s="1">
        <f t="shared" si="2"/>
        <v>11.1</v>
      </c>
      <c r="C146" s="1"/>
      <c r="D146" s="1" t="s">
        <v>373</v>
      </c>
      <c r="E146" s="1"/>
      <c r="F146" s="16" t="s">
        <v>703</v>
      </c>
    </row>
    <row r="147" spans="1:6" ht="24.95" customHeight="1">
      <c r="A147" s="1" t="s">
        <v>2</v>
      </c>
      <c r="B147" s="1">
        <f t="shared" si="2"/>
        <v>11.2</v>
      </c>
      <c r="C147" s="1"/>
      <c r="D147" s="1" t="s">
        <v>375</v>
      </c>
      <c r="E147" s="1"/>
      <c r="F147" s="16" t="s">
        <v>703</v>
      </c>
    </row>
    <row r="148" spans="1:6" ht="24.95" customHeight="1">
      <c r="A148" s="1" t="s">
        <v>2</v>
      </c>
      <c r="B148" s="1">
        <f t="shared" si="2"/>
        <v>11.3</v>
      </c>
      <c r="C148" s="1"/>
      <c r="D148" s="1" t="s">
        <v>377</v>
      </c>
      <c r="E148" s="1"/>
      <c r="F148" s="16" t="s">
        <v>703</v>
      </c>
    </row>
    <row r="149" spans="1:6" ht="24.95" customHeight="1">
      <c r="A149" s="1" t="s">
        <v>2</v>
      </c>
      <c r="B149" s="1">
        <f t="shared" si="2"/>
        <v>11.4</v>
      </c>
      <c r="C149" s="1"/>
      <c r="D149" s="1" t="s">
        <v>379</v>
      </c>
      <c r="E149" s="1"/>
      <c r="F149" s="16" t="s">
        <v>703</v>
      </c>
    </row>
    <row r="150" spans="1:6" ht="24.95" customHeight="1">
      <c r="A150" s="1" t="s">
        <v>2</v>
      </c>
      <c r="B150" s="1">
        <f t="shared" si="2"/>
        <v>11.5</v>
      </c>
      <c r="C150" s="1"/>
      <c r="D150" s="1" t="s">
        <v>381</v>
      </c>
      <c r="E150" s="1"/>
      <c r="F150" s="16" t="s">
        <v>703</v>
      </c>
    </row>
    <row r="151" spans="1:6" ht="24.95" customHeight="1">
      <c r="A151" s="1" t="s">
        <v>2</v>
      </c>
      <c r="B151" s="1">
        <f t="shared" si="2"/>
        <v>11.6</v>
      </c>
      <c r="C151" s="1"/>
      <c r="D151" s="1" t="s">
        <v>383</v>
      </c>
      <c r="E151" s="1"/>
      <c r="F151" s="16" t="s">
        <v>703</v>
      </c>
    </row>
    <row r="152" spans="1:6" ht="24.95" customHeight="1">
      <c r="A152" s="1" t="s">
        <v>2</v>
      </c>
      <c r="B152" s="1">
        <f t="shared" si="2"/>
        <v>11.7</v>
      </c>
      <c r="C152" s="1"/>
      <c r="D152" s="1" t="s">
        <v>385</v>
      </c>
      <c r="E152" s="1"/>
      <c r="F152" s="16" t="s">
        <v>703</v>
      </c>
    </row>
    <row r="153" spans="1:6" ht="24.95" customHeight="1">
      <c r="A153" s="1" t="s">
        <v>2</v>
      </c>
      <c r="B153" s="1">
        <f t="shared" si="2"/>
        <v>12</v>
      </c>
      <c r="C153" s="1"/>
      <c r="D153" s="7" t="s">
        <v>553</v>
      </c>
      <c r="E153" s="1"/>
      <c r="F153" s="16" t="s">
        <v>703</v>
      </c>
    </row>
    <row r="154" spans="1:6" ht="24.95" customHeight="1">
      <c r="A154" s="1" t="s">
        <v>2</v>
      </c>
      <c r="B154" s="1">
        <f t="shared" si="2"/>
        <v>12.1</v>
      </c>
      <c r="C154" s="1"/>
      <c r="D154" s="1" t="s">
        <v>387</v>
      </c>
      <c r="E154" s="1"/>
      <c r="F154" s="16" t="s">
        <v>703</v>
      </c>
    </row>
    <row r="155" spans="1:6" ht="24.95" customHeight="1">
      <c r="A155" s="1" t="s">
        <v>2</v>
      </c>
      <c r="B155" s="1">
        <f t="shared" si="2"/>
        <v>12.2</v>
      </c>
      <c r="C155" s="1"/>
      <c r="D155" s="1" t="s">
        <v>389</v>
      </c>
      <c r="E155" s="1"/>
      <c r="F155" s="16" t="s">
        <v>703</v>
      </c>
    </row>
    <row r="156" spans="1:6" ht="24.95" customHeight="1">
      <c r="A156" s="1" t="s">
        <v>2</v>
      </c>
      <c r="B156" s="1">
        <f t="shared" si="2"/>
        <v>12.3</v>
      </c>
      <c r="C156" s="1"/>
      <c r="D156" s="1" t="s">
        <v>390</v>
      </c>
      <c r="E156" s="1"/>
      <c r="F156" s="16" t="s">
        <v>703</v>
      </c>
    </row>
    <row r="157" spans="1:6" ht="24.95" customHeight="1">
      <c r="A157" s="1" t="s">
        <v>2</v>
      </c>
      <c r="B157" s="1">
        <f t="shared" si="2"/>
        <v>12.4</v>
      </c>
      <c r="C157" s="1"/>
      <c r="D157" s="1" t="s">
        <v>391</v>
      </c>
      <c r="E157" s="1"/>
      <c r="F157" s="16" t="s">
        <v>703</v>
      </c>
    </row>
    <row r="158" spans="1:6" ht="24.95" customHeight="1">
      <c r="A158" s="1" t="s">
        <v>2</v>
      </c>
      <c r="B158" s="1">
        <f t="shared" si="2"/>
        <v>12.5</v>
      </c>
      <c r="C158" s="1"/>
      <c r="D158" s="1" t="s">
        <v>392</v>
      </c>
      <c r="E158" s="1"/>
      <c r="F158" s="16" t="s">
        <v>703</v>
      </c>
    </row>
    <row r="159" spans="1:6" ht="24.95" customHeight="1">
      <c r="A159" s="1" t="s">
        <v>2</v>
      </c>
      <c r="B159" s="1">
        <f t="shared" si="2"/>
        <v>12.6</v>
      </c>
      <c r="C159" s="1"/>
      <c r="D159" s="1" t="s">
        <v>393</v>
      </c>
      <c r="E159" s="1"/>
      <c r="F159" s="16" t="s">
        <v>703</v>
      </c>
    </row>
    <row r="160" spans="1:6" ht="24.95" customHeight="1">
      <c r="A160" s="1" t="s">
        <v>2</v>
      </c>
      <c r="B160" s="1">
        <f t="shared" si="2"/>
        <v>12.7</v>
      </c>
      <c r="C160" s="1"/>
      <c r="D160" s="1" t="s">
        <v>394</v>
      </c>
      <c r="E160" s="1"/>
      <c r="F160" s="16" t="s">
        <v>703</v>
      </c>
    </row>
    <row r="161" spans="1:6" ht="24.95" customHeight="1">
      <c r="A161" s="1" t="s">
        <v>2</v>
      </c>
      <c r="B161" s="1">
        <f t="shared" si="2"/>
        <v>13</v>
      </c>
      <c r="C161" s="1"/>
      <c r="D161" s="7" t="s">
        <v>554</v>
      </c>
      <c r="E161" s="1"/>
      <c r="F161" s="16" t="s">
        <v>703</v>
      </c>
    </row>
    <row r="162" spans="1:6" ht="24.95" customHeight="1">
      <c r="A162" s="1" t="s">
        <v>2</v>
      </c>
      <c r="B162" s="1">
        <f t="shared" si="2"/>
        <v>13.1</v>
      </c>
      <c r="C162" s="1"/>
      <c r="D162" s="1" t="s">
        <v>395</v>
      </c>
      <c r="E162" s="1"/>
      <c r="F162" s="16" t="s">
        <v>703</v>
      </c>
    </row>
    <row r="163" spans="1:6" ht="24.95" customHeight="1">
      <c r="A163" s="1" t="s">
        <v>2</v>
      </c>
      <c r="B163" s="1">
        <f t="shared" si="2"/>
        <v>13.2</v>
      </c>
      <c r="C163" s="1"/>
      <c r="D163" s="1" t="s">
        <v>396</v>
      </c>
      <c r="E163" s="1"/>
      <c r="F163" s="16" t="s">
        <v>703</v>
      </c>
    </row>
    <row r="164" spans="1:6" ht="24.95" customHeight="1">
      <c r="A164" s="1" t="s">
        <v>2</v>
      </c>
      <c r="B164" s="1">
        <f t="shared" si="2"/>
        <v>13.3</v>
      </c>
      <c r="C164" s="1"/>
      <c r="D164" s="1" t="s">
        <v>397</v>
      </c>
      <c r="E164" s="1"/>
      <c r="F164" s="16" t="s">
        <v>703</v>
      </c>
    </row>
    <row r="165" spans="1:6" ht="24.95" customHeight="1">
      <c r="A165" s="1" t="s">
        <v>2</v>
      </c>
      <c r="B165" s="1">
        <f t="shared" si="2"/>
        <v>13.4</v>
      </c>
      <c r="C165" s="1"/>
      <c r="D165" s="1" t="s">
        <v>398</v>
      </c>
      <c r="E165" s="1"/>
      <c r="F165" s="16" t="s">
        <v>703</v>
      </c>
    </row>
    <row r="166" spans="1:6" ht="24.95" customHeight="1">
      <c r="A166" s="1" t="s">
        <v>2</v>
      </c>
      <c r="B166" s="1">
        <f t="shared" si="2"/>
        <v>13.5</v>
      </c>
      <c r="C166" s="1"/>
      <c r="D166" s="1" t="s">
        <v>399</v>
      </c>
      <c r="E166" s="1"/>
      <c r="F166" s="16" t="s">
        <v>703</v>
      </c>
    </row>
    <row r="167" spans="1:6" ht="24.95" customHeight="1">
      <c r="A167" s="1" t="s">
        <v>2</v>
      </c>
      <c r="B167" s="1">
        <f t="shared" si="2"/>
        <v>13.6</v>
      </c>
      <c r="C167" s="1"/>
      <c r="D167" s="1" t="s">
        <v>400</v>
      </c>
      <c r="E167" s="1"/>
      <c r="F167" s="16" t="s">
        <v>703</v>
      </c>
    </row>
    <row r="168" spans="1:6" ht="24.95" customHeight="1">
      <c r="A168" s="1" t="s">
        <v>2</v>
      </c>
      <c r="B168" s="1">
        <f t="shared" si="2"/>
        <v>13.7</v>
      </c>
      <c r="C168" s="1"/>
      <c r="D168" s="1" t="s">
        <v>401</v>
      </c>
      <c r="E168" s="1"/>
      <c r="F168" s="16" t="s">
        <v>703</v>
      </c>
    </row>
    <row r="169" spans="1:6" ht="24.95" customHeight="1">
      <c r="A169" s="1" t="s">
        <v>2</v>
      </c>
      <c r="B169" s="1">
        <f t="shared" si="2"/>
        <v>14</v>
      </c>
      <c r="C169" s="1"/>
      <c r="D169" s="7" t="s">
        <v>555</v>
      </c>
      <c r="E169" s="1"/>
      <c r="F169" s="16" t="s">
        <v>703</v>
      </c>
    </row>
    <row r="170" spans="1:6" ht="24.95" customHeight="1">
      <c r="A170" s="1" t="s">
        <v>2</v>
      </c>
      <c r="B170" s="1">
        <f t="shared" si="2"/>
        <v>14.1</v>
      </c>
      <c r="C170" s="1"/>
      <c r="D170" s="1" t="s">
        <v>402</v>
      </c>
      <c r="E170" s="1"/>
      <c r="F170" s="16" t="s">
        <v>703</v>
      </c>
    </row>
    <row r="171" spans="1:6" ht="24.95" customHeight="1">
      <c r="A171" s="1" t="s">
        <v>2</v>
      </c>
      <c r="B171" s="1">
        <f t="shared" si="2"/>
        <v>14.2</v>
      </c>
      <c r="C171" s="1"/>
      <c r="D171" s="1" t="s">
        <v>403</v>
      </c>
      <c r="E171" s="1"/>
      <c r="F171" s="16" t="s">
        <v>703</v>
      </c>
    </row>
    <row r="172" spans="1:6" ht="24.95" customHeight="1">
      <c r="A172" s="1" t="s">
        <v>2</v>
      </c>
      <c r="B172" s="1">
        <f t="shared" si="2"/>
        <v>14.3</v>
      </c>
      <c r="C172" s="1"/>
      <c r="D172" s="1" t="s">
        <v>404</v>
      </c>
      <c r="E172" s="1"/>
      <c r="F172" s="16" t="s">
        <v>703</v>
      </c>
    </row>
    <row r="173" spans="1:6" ht="24.95" customHeight="1">
      <c r="A173" s="1" t="s">
        <v>2</v>
      </c>
      <c r="B173" s="1">
        <f t="shared" si="2"/>
        <v>14.4</v>
      </c>
      <c r="C173" s="1"/>
      <c r="D173" s="1" t="s">
        <v>405</v>
      </c>
      <c r="E173" s="1"/>
      <c r="F173" s="16" t="s">
        <v>703</v>
      </c>
    </row>
    <row r="174" spans="1:6" ht="24.95" customHeight="1">
      <c r="A174" s="1" t="s">
        <v>2</v>
      </c>
      <c r="B174" s="1">
        <f t="shared" si="2"/>
        <v>14.5</v>
      </c>
      <c r="C174" s="1"/>
      <c r="D174" s="1" t="s">
        <v>406</v>
      </c>
      <c r="E174" s="1"/>
      <c r="F174" s="16" t="s">
        <v>703</v>
      </c>
    </row>
    <row r="175" spans="1:6" ht="24.95" customHeight="1">
      <c r="A175" s="1" t="s">
        <v>2</v>
      </c>
      <c r="B175" s="1">
        <f t="shared" si="2"/>
        <v>14.6</v>
      </c>
      <c r="C175" s="1"/>
      <c r="D175" s="1" t="s">
        <v>407</v>
      </c>
      <c r="E175" s="1"/>
      <c r="F175" s="16" t="s">
        <v>703</v>
      </c>
    </row>
    <row r="176" spans="1:6" ht="24.95" customHeight="1">
      <c r="A176" s="1" t="s">
        <v>2</v>
      </c>
      <c r="B176" s="1">
        <f t="shared" si="2"/>
        <v>14.7</v>
      </c>
      <c r="C176" s="1"/>
      <c r="D176" s="1" t="s">
        <v>408</v>
      </c>
      <c r="E176" s="1"/>
      <c r="F176" s="16" t="s">
        <v>703</v>
      </c>
    </row>
    <row r="177" spans="1:6" ht="24.95" customHeight="1">
      <c r="A177" s="1" t="s">
        <v>3</v>
      </c>
      <c r="B177" s="1">
        <f t="shared" si="2"/>
        <v>20</v>
      </c>
      <c r="C177" s="1" t="s">
        <v>17</v>
      </c>
      <c r="D177" s="1" t="s">
        <v>18</v>
      </c>
      <c r="E177" s="1"/>
      <c r="F177" s="16" t="s">
        <v>703</v>
      </c>
    </row>
    <row r="178" spans="1:6" ht="24.95" customHeight="1">
      <c r="A178" s="1" t="s">
        <v>4</v>
      </c>
      <c r="B178" s="1">
        <f t="shared" si="2"/>
        <v>20</v>
      </c>
      <c r="C178" s="1" t="s">
        <v>109</v>
      </c>
      <c r="D178" s="7" t="s">
        <v>626</v>
      </c>
      <c r="E178" s="1"/>
      <c r="F178" s="16" t="s">
        <v>703</v>
      </c>
    </row>
    <row r="179" spans="1:6" ht="24.95" customHeight="1">
      <c r="A179" s="1" t="s">
        <v>4</v>
      </c>
      <c r="B179" s="1">
        <f t="shared" si="2"/>
        <v>20.100000000000001</v>
      </c>
      <c r="C179" s="1" t="s">
        <v>170</v>
      </c>
      <c r="D179" s="1" t="s">
        <v>579</v>
      </c>
      <c r="E179" s="1"/>
      <c r="F179" s="16" t="s">
        <v>703</v>
      </c>
    </row>
    <row r="180" spans="1:6" ht="24.95" customHeight="1">
      <c r="A180" s="1" t="s">
        <v>4</v>
      </c>
      <c r="B180" s="1">
        <f t="shared" si="2"/>
        <v>20.2</v>
      </c>
      <c r="C180" s="1" t="s">
        <v>175</v>
      </c>
      <c r="D180" s="1" t="s">
        <v>580</v>
      </c>
      <c r="E180" s="1"/>
      <c r="F180" s="16" t="s">
        <v>703</v>
      </c>
    </row>
    <row r="181" spans="1:6" ht="24.95" customHeight="1">
      <c r="A181" s="1" t="s">
        <v>4</v>
      </c>
      <c r="B181" s="1">
        <f t="shared" si="2"/>
        <v>20.3</v>
      </c>
      <c r="C181" s="1" t="s">
        <v>180</v>
      </c>
      <c r="D181" s="1" t="s">
        <v>581</v>
      </c>
      <c r="E181" s="16" t="s">
        <v>718</v>
      </c>
      <c r="F181" s="16" t="s">
        <v>703</v>
      </c>
    </row>
    <row r="182" spans="1:6" ht="24.95" customHeight="1">
      <c r="A182" s="1" t="s">
        <v>4</v>
      </c>
      <c r="B182" s="1">
        <f t="shared" si="2"/>
        <v>20.399999999999999</v>
      </c>
      <c r="C182" s="1" t="s">
        <v>184</v>
      </c>
      <c r="D182" s="1" t="s">
        <v>582</v>
      </c>
      <c r="E182" s="1"/>
      <c r="F182" s="16" t="s">
        <v>703</v>
      </c>
    </row>
    <row r="183" spans="1:6" ht="24.95" customHeight="1">
      <c r="A183" s="1" t="s">
        <v>4</v>
      </c>
      <c r="B183" s="1">
        <f t="shared" si="2"/>
        <v>20.5</v>
      </c>
      <c r="C183" s="1" t="s">
        <v>189</v>
      </c>
      <c r="D183" s="1" t="s">
        <v>583</v>
      </c>
      <c r="E183" s="1"/>
      <c r="F183" s="16" t="s">
        <v>703</v>
      </c>
    </row>
    <row r="184" spans="1:6" ht="24.95" customHeight="1">
      <c r="A184" s="1" t="s">
        <v>4</v>
      </c>
      <c r="B184" s="1">
        <f t="shared" si="2"/>
        <v>20.6</v>
      </c>
      <c r="C184" s="1"/>
      <c r="D184" s="1" t="s">
        <v>584</v>
      </c>
      <c r="E184" s="1"/>
      <c r="F184" s="16" t="s">
        <v>703</v>
      </c>
    </row>
    <row r="185" spans="1:6" ht="24.95" customHeight="1">
      <c r="A185" s="1" t="s">
        <v>4</v>
      </c>
      <c r="B185" s="1">
        <f t="shared" si="2"/>
        <v>20.7</v>
      </c>
      <c r="C185" s="5" t="s">
        <v>413</v>
      </c>
      <c r="D185" s="1" t="s">
        <v>585</v>
      </c>
      <c r="E185" s="1"/>
      <c r="F185" s="16" t="s">
        <v>703</v>
      </c>
    </row>
    <row r="186" spans="1:6" ht="24.95" customHeight="1">
      <c r="A186" s="1" t="s">
        <v>3</v>
      </c>
      <c r="B186" s="1">
        <f t="shared" si="2"/>
        <v>21</v>
      </c>
      <c r="C186" s="1" t="s">
        <v>34</v>
      </c>
      <c r="D186" s="1" t="s">
        <v>35</v>
      </c>
      <c r="E186" s="1"/>
      <c r="F186" s="1" t="s">
        <v>701</v>
      </c>
    </row>
    <row r="187" spans="1:6" ht="24.95" customHeight="1">
      <c r="A187" s="1" t="s">
        <v>4</v>
      </c>
      <c r="B187" s="1">
        <f t="shared" si="2"/>
        <v>21</v>
      </c>
      <c r="C187" s="1" t="s">
        <v>200</v>
      </c>
      <c r="D187" s="7" t="s">
        <v>627</v>
      </c>
      <c r="E187" s="1"/>
      <c r="F187" s="16" t="s">
        <v>703</v>
      </c>
    </row>
    <row r="188" spans="1:6" ht="24.95" customHeight="1">
      <c r="A188" s="1" t="s">
        <v>4</v>
      </c>
      <c r="B188" s="1">
        <f t="shared" si="2"/>
        <v>21.1</v>
      </c>
      <c r="C188" s="1" t="s">
        <v>204</v>
      </c>
      <c r="D188" s="1" t="s">
        <v>586</v>
      </c>
      <c r="E188" s="1"/>
      <c r="F188" s="16" t="s">
        <v>703</v>
      </c>
    </row>
    <row r="189" spans="1:6" ht="24.95" customHeight="1">
      <c r="A189" s="1" t="s">
        <v>4</v>
      </c>
      <c r="B189" s="1">
        <f t="shared" si="2"/>
        <v>21.2</v>
      </c>
      <c r="C189" s="1" t="s">
        <v>208</v>
      </c>
      <c r="D189" s="1" t="s">
        <v>587</v>
      </c>
      <c r="E189" s="1"/>
      <c r="F189" s="16" t="s">
        <v>703</v>
      </c>
    </row>
    <row r="190" spans="1:6" ht="24.95" customHeight="1">
      <c r="A190" s="1" t="s">
        <v>4</v>
      </c>
      <c r="B190" s="1">
        <f t="shared" si="2"/>
        <v>21.3</v>
      </c>
      <c r="C190" s="1" t="s">
        <v>212</v>
      </c>
      <c r="D190" s="1" t="s">
        <v>588</v>
      </c>
      <c r="E190" s="1"/>
      <c r="F190" s="16" t="s">
        <v>703</v>
      </c>
    </row>
    <row r="191" spans="1:6" ht="24.95" customHeight="1">
      <c r="A191" s="1" t="s">
        <v>4</v>
      </c>
      <c r="B191" s="1">
        <f t="shared" si="2"/>
        <v>21.4</v>
      </c>
      <c r="C191" s="1" t="s">
        <v>216</v>
      </c>
      <c r="D191" s="1" t="s">
        <v>589</v>
      </c>
      <c r="E191" s="1"/>
      <c r="F191" s="16" t="s">
        <v>703</v>
      </c>
    </row>
    <row r="192" spans="1:6" ht="24.95" customHeight="1">
      <c r="A192" s="1" t="s">
        <v>4</v>
      </c>
      <c r="B192" s="1">
        <f t="shared" si="2"/>
        <v>21.5</v>
      </c>
      <c r="C192" s="1" t="s">
        <v>220</v>
      </c>
      <c r="D192" s="1" t="s">
        <v>590</v>
      </c>
      <c r="E192" s="5" t="s">
        <v>425</v>
      </c>
      <c r="F192" s="16" t="s">
        <v>703</v>
      </c>
    </row>
    <row r="193" spans="1:6" ht="24.95" customHeight="1">
      <c r="A193" s="1" t="s">
        <v>4</v>
      </c>
      <c r="B193" s="1">
        <f t="shared" si="2"/>
        <v>21.6</v>
      </c>
      <c r="C193" s="1" t="s">
        <v>224</v>
      </c>
      <c r="D193" s="1" t="s">
        <v>591</v>
      </c>
      <c r="E193" s="5" t="s">
        <v>425</v>
      </c>
      <c r="F193" s="16" t="s">
        <v>703</v>
      </c>
    </row>
    <row r="194" spans="1:6" ht="24.95" customHeight="1">
      <c r="A194" s="1" t="s">
        <v>4</v>
      </c>
      <c r="B194" s="1">
        <f t="shared" ref="B194:B257" si="3">VALUE(RIGHT(D194,LEN(D194)-LEN(A194)))</f>
        <v>21.7</v>
      </c>
      <c r="C194" s="1" t="s">
        <v>99</v>
      </c>
      <c r="D194" s="1" t="s">
        <v>592</v>
      </c>
      <c r="E194" s="5" t="s">
        <v>425</v>
      </c>
      <c r="F194" s="16" t="s">
        <v>703</v>
      </c>
    </row>
    <row r="195" spans="1:6" ht="24.95" customHeight="1">
      <c r="A195" s="1" t="s">
        <v>3</v>
      </c>
      <c r="B195" s="1">
        <f t="shared" si="3"/>
        <v>22</v>
      </c>
      <c r="C195" s="1" t="s">
        <v>49</v>
      </c>
      <c r="D195" s="1" t="s">
        <v>50</v>
      </c>
      <c r="E195" s="1">
        <v>0</v>
      </c>
      <c r="F195" s="1" t="s">
        <v>701</v>
      </c>
    </row>
    <row r="196" spans="1:6" ht="24.95" customHeight="1">
      <c r="A196" s="1" t="s">
        <v>4</v>
      </c>
      <c r="B196" s="1">
        <f t="shared" si="3"/>
        <v>22</v>
      </c>
      <c r="C196" s="1" t="s">
        <v>231</v>
      </c>
      <c r="D196" s="7" t="s">
        <v>628</v>
      </c>
      <c r="E196" s="5" t="s">
        <v>425</v>
      </c>
      <c r="F196" s="16" t="s">
        <v>703</v>
      </c>
    </row>
    <row r="197" spans="1:6" ht="24.95" customHeight="1">
      <c r="A197" s="1" t="s">
        <v>4</v>
      </c>
      <c r="B197" s="1">
        <f t="shared" si="3"/>
        <v>22.1</v>
      </c>
      <c r="C197" s="1" t="s">
        <v>235</v>
      </c>
      <c r="D197" s="1" t="s">
        <v>593</v>
      </c>
      <c r="E197" s="5" t="s">
        <v>425</v>
      </c>
      <c r="F197" s="16" t="s">
        <v>703</v>
      </c>
    </row>
    <row r="198" spans="1:6" ht="24.95" customHeight="1">
      <c r="A198" s="1" t="s">
        <v>4</v>
      </c>
      <c r="B198" s="1">
        <f t="shared" si="3"/>
        <v>22.2</v>
      </c>
      <c r="C198" s="1" t="s">
        <v>9</v>
      </c>
      <c r="D198" s="1" t="s">
        <v>594</v>
      </c>
      <c r="E198" s="5" t="s">
        <v>425</v>
      </c>
      <c r="F198" s="16" t="s">
        <v>703</v>
      </c>
    </row>
    <row r="199" spans="1:6" ht="24.95" customHeight="1">
      <c r="A199" s="1" t="s">
        <v>4</v>
      </c>
      <c r="B199" s="1">
        <f t="shared" si="3"/>
        <v>22.3</v>
      </c>
      <c r="C199" s="1" t="s">
        <v>22</v>
      </c>
      <c r="D199" s="1" t="s">
        <v>595</v>
      </c>
      <c r="E199" s="5" t="s">
        <v>425</v>
      </c>
      <c r="F199" s="16" t="s">
        <v>703</v>
      </c>
    </row>
    <row r="200" spans="1:6" ht="24.95" customHeight="1">
      <c r="A200" s="1" t="s">
        <v>4</v>
      </c>
      <c r="B200" s="1">
        <f t="shared" si="3"/>
        <v>22.4</v>
      </c>
      <c r="C200" s="1" t="s">
        <v>41</v>
      </c>
      <c r="D200" s="1" t="s">
        <v>596</v>
      </c>
      <c r="E200" s="5" t="s">
        <v>425</v>
      </c>
      <c r="F200" s="16" t="s">
        <v>703</v>
      </c>
    </row>
    <row r="201" spans="1:6" ht="24.95" customHeight="1">
      <c r="A201" s="1" t="s">
        <v>4</v>
      </c>
      <c r="B201" s="1">
        <f t="shared" si="3"/>
        <v>22.5</v>
      </c>
      <c r="C201" s="1" t="s">
        <v>55</v>
      </c>
      <c r="D201" s="1" t="s">
        <v>597</v>
      </c>
      <c r="E201" s="5" t="s">
        <v>425</v>
      </c>
      <c r="F201" s="16" t="s">
        <v>703</v>
      </c>
    </row>
    <row r="202" spans="1:6" ht="24.95" customHeight="1">
      <c r="A202" s="1" t="s">
        <v>4</v>
      </c>
      <c r="B202" s="1">
        <f t="shared" si="3"/>
        <v>22.6</v>
      </c>
      <c r="C202" s="1"/>
      <c r="D202" s="1" t="s">
        <v>598</v>
      </c>
      <c r="E202" s="1"/>
      <c r="F202" s="16" t="s">
        <v>703</v>
      </c>
    </row>
    <row r="203" spans="1:6" ht="24.95" customHeight="1">
      <c r="A203" s="11" t="s">
        <v>686</v>
      </c>
      <c r="B203" s="1">
        <f t="shared" si="3"/>
        <v>22.6</v>
      </c>
      <c r="C203" s="1" t="s">
        <v>665</v>
      </c>
      <c r="D203" s="1" t="s">
        <v>598</v>
      </c>
      <c r="E203" s="1"/>
      <c r="F203" s="16" t="s">
        <v>703</v>
      </c>
    </row>
    <row r="204" spans="1:6" ht="24.95" customHeight="1">
      <c r="A204" s="1" t="s">
        <v>4</v>
      </c>
      <c r="B204" s="1">
        <f t="shared" si="3"/>
        <v>22.7</v>
      </c>
      <c r="C204" s="5" t="s">
        <v>421</v>
      </c>
      <c r="D204" s="1" t="s">
        <v>599</v>
      </c>
      <c r="E204" s="1"/>
      <c r="F204" s="16" t="s">
        <v>703</v>
      </c>
    </row>
    <row r="205" spans="1:6" ht="24.95" customHeight="1">
      <c r="A205" s="1" t="s">
        <v>4</v>
      </c>
      <c r="B205" s="1">
        <f t="shared" si="3"/>
        <v>23</v>
      </c>
      <c r="C205" s="5" t="s">
        <v>424</v>
      </c>
      <c r="D205" s="7" t="s">
        <v>629</v>
      </c>
      <c r="E205" s="5" t="s">
        <v>426</v>
      </c>
      <c r="F205" s="16" t="s">
        <v>703</v>
      </c>
    </row>
    <row r="206" spans="1:6" ht="24.95" customHeight="1">
      <c r="A206" s="1" t="s">
        <v>4</v>
      </c>
      <c r="B206" s="1">
        <f t="shared" si="3"/>
        <v>23.1</v>
      </c>
      <c r="C206" s="5" t="s">
        <v>427</v>
      </c>
      <c r="D206" s="1" t="s">
        <v>600</v>
      </c>
      <c r="E206" s="1"/>
      <c r="F206" s="16" t="s">
        <v>703</v>
      </c>
    </row>
    <row r="207" spans="1:6" ht="24.95" customHeight="1">
      <c r="A207" s="1" t="s">
        <v>4</v>
      </c>
      <c r="B207" s="1">
        <f t="shared" si="3"/>
        <v>23.2</v>
      </c>
      <c r="C207" s="1"/>
      <c r="D207" s="1" t="s">
        <v>601</v>
      </c>
      <c r="E207" s="1"/>
      <c r="F207" s="16" t="s">
        <v>703</v>
      </c>
    </row>
    <row r="208" spans="1:6" ht="24.95" customHeight="1">
      <c r="A208" s="1" t="s">
        <v>4</v>
      </c>
      <c r="B208" s="1">
        <f t="shared" si="3"/>
        <v>23.3</v>
      </c>
      <c r="C208" s="1"/>
      <c r="D208" s="1" t="s">
        <v>602</v>
      </c>
      <c r="E208" s="1"/>
      <c r="F208" s="16" t="s">
        <v>703</v>
      </c>
    </row>
    <row r="209" spans="1:6" ht="24.95" customHeight="1">
      <c r="A209" s="1" t="s">
        <v>4</v>
      </c>
      <c r="B209" s="1">
        <f t="shared" si="3"/>
        <v>23.4</v>
      </c>
      <c r="C209" s="1"/>
      <c r="D209" s="1" t="s">
        <v>603</v>
      </c>
      <c r="E209" s="1"/>
      <c r="F209" s="16" t="s">
        <v>703</v>
      </c>
    </row>
    <row r="210" spans="1:6" ht="24.95" customHeight="1">
      <c r="A210" s="1" t="s">
        <v>4</v>
      </c>
      <c r="B210" s="1">
        <f t="shared" si="3"/>
        <v>23.5</v>
      </c>
      <c r="C210" s="1"/>
      <c r="D210" s="1" t="s">
        <v>604</v>
      </c>
      <c r="E210" s="1"/>
      <c r="F210" s="16" t="s">
        <v>703</v>
      </c>
    </row>
    <row r="211" spans="1:6" ht="24.95" customHeight="1">
      <c r="A211" s="1" t="s">
        <v>4</v>
      </c>
      <c r="B211" s="1">
        <f t="shared" si="3"/>
        <v>23.6</v>
      </c>
      <c r="C211" s="1"/>
      <c r="D211" s="1" t="s">
        <v>605</v>
      </c>
      <c r="E211" s="1"/>
      <c r="F211" s="16" t="s">
        <v>703</v>
      </c>
    </row>
    <row r="212" spans="1:6" ht="24.95" customHeight="1">
      <c r="A212" s="1" t="s">
        <v>4</v>
      </c>
      <c r="B212" s="1">
        <f t="shared" si="3"/>
        <v>23.7</v>
      </c>
      <c r="C212" s="1"/>
      <c r="D212" s="1" t="s">
        <v>606</v>
      </c>
      <c r="E212" s="1"/>
      <c r="F212" s="16" t="s">
        <v>703</v>
      </c>
    </row>
    <row r="213" spans="1:6" ht="24.95" customHeight="1">
      <c r="A213" s="1" t="s">
        <v>4</v>
      </c>
      <c r="B213" s="1">
        <f t="shared" si="3"/>
        <v>24</v>
      </c>
      <c r="C213" s="1" t="s">
        <v>24</v>
      </c>
      <c r="D213" s="7" t="s">
        <v>630</v>
      </c>
      <c r="E213" s="1"/>
      <c r="F213" s="16" t="s">
        <v>703</v>
      </c>
    </row>
    <row r="214" spans="1:6" ht="24.95" customHeight="1">
      <c r="A214" s="1" t="s">
        <v>4</v>
      </c>
      <c r="B214" s="1">
        <f t="shared" si="3"/>
        <v>24.1</v>
      </c>
      <c r="C214" s="5" t="s">
        <v>415</v>
      </c>
      <c r="D214" s="1" t="s">
        <v>607</v>
      </c>
      <c r="E214" s="1"/>
      <c r="F214" s="16" t="s">
        <v>703</v>
      </c>
    </row>
    <row r="215" spans="1:6" ht="24.95" customHeight="1">
      <c r="A215" s="1" t="s">
        <v>4</v>
      </c>
      <c r="B215" s="1">
        <f t="shared" si="3"/>
        <v>24.2</v>
      </c>
      <c r="C215" s="1" t="s">
        <v>285</v>
      </c>
      <c r="D215" s="1" t="s">
        <v>608</v>
      </c>
      <c r="E215" s="1"/>
      <c r="F215" s="16" t="s">
        <v>703</v>
      </c>
    </row>
    <row r="216" spans="1:6" ht="24.95" customHeight="1">
      <c r="A216" s="1" t="s">
        <v>4</v>
      </c>
      <c r="B216" s="1">
        <f t="shared" si="3"/>
        <v>24.3</v>
      </c>
      <c r="C216" s="5" t="s">
        <v>417</v>
      </c>
      <c r="D216" s="1" t="s">
        <v>609</v>
      </c>
      <c r="E216" s="1"/>
      <c r="F216" s="16" t="s">
        <v>703</v>
      </c>
    </row>
    <row r="217" spans="1:6" ht="24.95" customHeight="1">
      <c r="A217" s="1" t="s">
        <v>4</v>
      </c>
      <c r="B217" s="1">
        <f t="shared" si="3"/>
        <v>24.4</v>
      </c>
      <c r="C217" s="1"/>
      <c r="D217" s="1" t="s">
        <v>610</v>
      </c>
      <c r="E217" s="1"/>
      <c r="F217" s="16" t="s">
        <v>703</v>
      </c>
    </row>
    <row r="218" spans="1:6" ht="24.95" customHeight="1">
      <c r="A218" s="1" t="s">
        <v>4</v>
      </c>
      <c r="B218" s="1">
        <f t="shared" si="3"/>
        <v>24.5</v>
      </c>
      <c r="C218" s="1"/>
      <c r="D218" s="1" t="s">
        <v>611</v>
      </c>
      <c r="E218" s="1"/>
      <c r="F218" s="16" t="s">
        <v>703</v>
      </c>
    </row>
    <row r="219" spans="1:6" ht="24.95" customHeight="1">
      <c r="A219" s="1" t="s">
        <v>4</v>
      </c>
      <c r="B219" s="1">
        <f t="shared" si="3"/>
        <v>24.6</v>
      </c>
      <c r="C219" s="1"/>
      <c r="D219" s="1" t="s">
        <v>612</v>
      </c>
      <c r="E219" s="1"/>
      <c r="F219" s="16" t="s">
        <v>703</v>
      </c>
    </row>
    <row r="220" spans="1:6" ht="24.95" customHeight="1">
      <c r="A220" s="1" t="s">
        <v>4</v>
      </c>
      <c r="B220" s="1">
        <f t="shared" si="3"/>
        <v>24.7</v>
      </c>
      <c r="C220" s="5"/>
      <c r="D220" s="1" t="s">
        <v>613</v>
      </c>
      <c r="E220" s="1"/>
      <c r="F220" s="16" t="s">
        <v>703</v>
      </c>
    </row>
    <row r="221" spans="1:6" ht="24.95" customHeight="1">
      <c r="A221" s="1" t="s">
        <v>4</v>
      </c>
      <c r="B221" s="1">
        <f t="shared" si="3"/>
        <v>25</v>
      </c>
      <c r="C221" s="1" t="s">
        <v>428</v>
      </c>
      <c r="D221" s="7" t="s">
        <v>631</v>
      </c>
      <c r="E221" s="1"/>
      <c r="F221" s="16" t="s">
        <v>703</v>
      </c>
    </row>
    <row r="222" spans="1:6" ht="24.95" customHeight="1">
      <c r="A222" s="1" t="s">
        <v>4</v>
      </c>
      <c r="B222" s="1">
        <f t="shared" si="3"/>
        <v>25.1</v>
      </c>
      <c r="C222" s="1" t="s">
        <v>306</v>
      </c>
      <c r="D222" s="1" t="s">
        <v>614</v>
      </c>
      <c r="E222" s="1"/>
      <c r="F222" s="16" t="s">
        <v>703</v>
      </c>
    </row>
    <row r="223" spans="1:6" ht="24.95" customHeight="1">
      <c r="A223" s="1" t="s">
        <v>4</v>
      </c>
      <c r="B223" s="1">
        <f t="shared" si="3"/>
        <v>25.2</v>
      </c>
      <c r="C223" s="1" t="s">
        <v>310</v>
      </c>
      <c r="D223" s="1" t="s">
        <v>615</v>
      </c>
      <c r="E223" s="1"/>
      <c r="F223" s="16" t="s">
        <v>703</v>
      </c>
    </row>
    <row r="224" spans="1:6" ht="24.95" customHeight="1">
      <c r="A224" s="1" t="s">
        <v>4</v>
      </c>
      <c r="B224" s="1">
        <f t="shared" si="3"/>
        <v>25.3</v>
      </c>
      <c r="C224" s="1" t="s">
        <v>313</v>
      </c>
      <c r="D224" s="1" t="s">
        <v>616</v>
      </c>
      <c r="E224" s="1"/>
      <c r="F224" s="16" t="s">
        <v>703</v>
      </c>
    </row>
    <row r="225" spans="1:6" ht="24.95" customHeight="1">
      <c r="A225" s="1" t="s">
        <v>4</v>
      </c>
      <c r="B225" s="1">
        <f t="shared" si="3"/>
        <v>25.4</v>
      </c>
      <c r="C225" s="1" t="s">
        <v>316</v>
      </c>
      <c r="D225" s="1" t="s">
        <v>617</v>
      </c>
      <c r="E225" s="1"/>
      <c r="F225" s="16" t="s">
        <v>703</v>
      </c>
    </row>
    <row r="226" spans="1:6" ht="24.95" customHeight="1">
      <c r="A226" s="1" t="s">
        <v>4</v>
      </c>
      <c r="B226" s="1">
        <f t="shared" si="3"/>
        <v>25.5</v>
      </c>
      <c r="C226" s="1" t="s">
        <v>319</v>
      </c>
      <c r="D226" s="1" t="s">
        <v>618</v>
      </c>
      <c r="E226" s="1"/>
      <c r="F226" s="16" t="s">
        <v>703</v>
      </c>
    </row>
    <row r="227" spans="1:6" ht="24.95" customHeight="1">
      <c r="A227" s="1" t="s">
        <v>4</v>
      </c>
      <c r="B227" s="1">
        <f t="shared" si="3"/>
        <v>25.6</v>
      </c>
      <c r="C227" s="1"/>
      <c r="D227" s="1" t="s">
        <v>619</v>
      </c>
      <c r="E227" s="1"/>
      <c r="F227" s="16" t="s">
        <v>703</v>
      </c>
    </row>
    <row r="228" spans="1:6" ht="24.95" customHeight="1">
      <c r="A228" s="1" t="s">
        <v>4</v>
      </c>
      <c r="B228" s="1">
        <f t="shared" si="3"/>
        <v>25.7</v>
      </c>
      <c r="C228" s="1"/>
      <c r="D228" s="1" t="s">
        <v>620</v>
      </c>
      <c r="E228" s="1"/>
      <c r="F228" s="16" t="s">
        <v>703</v>
      </c>
    </row>
    <row r="229" spans="1:6" ht="24.95" customHeight="1">
      <c r="A229" s="11" t="s">
        <v>686</v>
      </c>
      <c r="B229" s="1">
        <f t="shared" si="3"/>
        <v>30</v>
      </c>
      <c r="C229" s="1" t="s">
        <v>666</v>
      </c>
      <c r="D229" s="1" t="s">
        <v>667</v>
      </c>
      <c r="E229" s="1"/>
      <c r="F229" s="16" t="s">
        <v>703</v>
      </c>
    </row>
    <row r="230" spans="1:6" ht="24.95" customHeight="1">
      <c r="A230" s="11" t="s">
        <v>686</v>
      </c>
      <c r="B230" s="1">
        <f t="shared" si="3"/>
        <v>30.1</v>
      </c>
      <c r="C230" s="1" t="s">
        <v>668</v>
      </c>
      <c r="D230" s="1" t="s">
        <v>669</v>
      </c>
      <c r="E230" s="1"/>
      <c r="F230" s="16" t="s">
        <v>703</v>
      </c>
    </row>
    <row r="231" spans="1:6" ht="24.95" customHeight="1">
      <c r="A231" s="11" t="s">
        <v>686</v>
      </c>
      <c r="B231" s="1">
        <f t="shared" si="3"/>
        <v>30.2</v>
      </c>
      <c r="C231" s="1" t="s">
        <v>670</v>
      </c>
      <c r="D231" s="1" t="s">
        <v>671</v>
      </c>
      <c r="E231" s="1"/>
      <c r="F231" s="16" t="s">
        <v>703</v>
      </c>
    </row>
    <row r="232" spans="1:6" ht="24.95" customHeight="1">
      <c r="A232" s="11" t="s">
        <v>686</v>
      </c>
      <c r="B232" s="1">
        <f t="shared" si="3"/>
        <v>30.3</v>
      </c>
      <c r="C232" s="1" t="s">
        <v>672</v>
      </c>
      <c r="D232" s="1" t="s">
        <v>673</v>
      </c>
      <c r="E232" s="1"/>
      <c r="F232" s="16" t="s">
        <v>703</v>
      </c>
    </row>
    <row r="233" spans="1:6" ht="24.95" customHeight="1">
      <c r="A233" s="11" t="s">
        <v>686</v>
      </c>
      <c r="B233" s="1">
        <f t="shared" si="3"/>
        <v>30.4</v>
      </c>
      <c r="C233" s="1" t="s">
        <v>674</v>
      </c>
      <c r="D233" s="1" t="s">
        <v>675</v>
      </c>
      <c r="E233" s="1"/>
      <c r="F233" s="16" t="s">
        <v>703</v>
      </c>
    </row>
    <row r="234" spans="1:6" ht="24.95" customHeight="1">
      <c r="A234" s="11" t="s">
        <v>686</v>
      </c>
      <c r="B234" s="1">
        <f t="shared" si="3"/>
        <v>30.5</v>
      </c>
      <c r="C234" s="1" t="s">
        <v>676</v>
      </c>
      <c r="D234" s="1" t="s">
        <v>677</v>
      </c>
      <c r="E234" s="1"/>
      <c r="F234" s="16" t="s">
        <v>703</v>
      </c>
    </row>
    <row r="235" spans="1:6" ht="24.95" customHeight="1">
      <c r="A235" s="11" t="s">
        <v>686</v>
      </c>
      <c r="B235" s="1">
        <f t="shared" si="3"/>
        <v>30.6</v>
      </c>
      <c r="C235" s="1" t="s">
        <v>678</v>
      </c>
      <c r="D235" s="1" t="s">
        <v>679</v>
      </c>
      <c r="E235" s="1"/>
      <c r="F235" s="16" t="s">
        <v>703</v>
      </c>
    </row>
    <row r="236" spans="1:6" ht="24.95" customHeight="1">
      <c r="A236" s="1" t="s">
        <v>4</v>
      </c>
      <c r="B236" s="1">
        <f t="shared" si="3"/>
        <v>30.7</v>
      </c>
      <c r="C236" s="6" t="s">
        <v>488</v>
      </c>
      <c r="D236" s="1" t="s">
        <v>621</v>
      </c>
      <c r="E236" s="1"/>
      <c r="F236" s="16" t="s">
        <v>703</v>
      </c>
    </row>
    <row r="237" spans="1:6" ht="24.95" customHeight="1">
      <c r="A237" s="11" t="s">
        <v>686</v>
      </c>
      <c r="B237" s="1">
        <f t="shared" si="3"/>
        <v>31</v>
      </c>
      <c r="C237" s="1" t="s">
        <v>680</v>
      </c>
      <c r="D237" s="1" t="s">
        <v>681</v>
      </c>
      <c r="E237" s="1"/>
      <c r="F237" s="16" t="s">
        <v>703</v>
      </c>
    </row>
    <row r="238" spans="1:6" ht="24.95" customHeight="1">
      <c r="A238" s="1" t="s">
        <v>506</v>
      </c>
      <c r="B238" s="1">
        <f t="shared" si="3"/>
        <v>40</v>
      </c>
      <c r="C238" s="1" t="s">
        <v>510</v>
      </c>
      <c r="D238" s="7" t="s">
        <v>632</v>
      </c>
      <c r="E238" s="1" t="s">
        <v>511</v>
      </c>
      <c r="F238" s="1" t="s">
        <v>701</v>
      </c>
    </row>
    <row r="239" spans="1:6" ht="24.95" customHeight="1">
      <c r="A239" s="11" t="s">
        <v>687</v>
      </c>
      <c r="B239" s="1">
        <f t="shared" si="3"/>
        <v>40</v>
      </c>
      <c r="C239" s="1" t="s">
        <v>510</v>
      </c>
      <c r="D239" s="1" t="s">
        <v>682</v>
      </c>
      <c r="E239" s="1" t="s">
        <v>511</v>
      </c>
      <c r="F239" s="1" t="s">
        <v>701</v>
      </c>
    </row>
    <row r="240" spans="1:6" ht="24.95" customHeight="1">
      <c r="A240" s="1" t="s">
        <v>506</v>
      </c>
      <c r="B240" s="1">
        <f t="shared" si="3"/>
        <v>41</v>
      </c>
      <c r="C240" s="1" t="s">
        <v>508</v>
      </c>
      <c r="D240" s="7" t="s">
        <v>633</v>
      </c>
      <c r="E240" s="1" t="s">
        <v>509</v>
      </c>
      <c r="F240" s="1" t="s">
        <v>701</v>
      </c>
    </row>
    <row r="241" spans="1:6" ht="24.95" customHeight="1">
      <c r="A241" s="11" t="s">
        <v>687</v>
      </c>
      <c r="B241" s="1">
        <f t="shared" si="3"/>
        <v>41</v>
      </c>
      <c r="C241" s="1" t="s">
        <v>508</v>
      </c>
      <c r="D241" s="1" t="s">
        <v>683</v>
      </c>
      <c r="E241" s="1" t="s">
        <v>509</v>
      </c>
      <c r="F241" s="1" t="s">
        <v>701</v>
      </c>
    </row>
    <row r="242" spans="1:6" ht="24.95" customHeight="1">
      <c r="A242" s="1" t="s">
        <v>506</v>
      </c>
      <c r="B242" s="1">
        <f t="shared" si="3"/>
        <v>42</v>
      </c>
      <c r="C242" s="1" t="s">
        <v>507</v>
      </c>
      <c r="D242" s="7" t="s">
        <v>634</v>
      </c>
      <c r="E242" s="7" t="s">
        <v>512</v>
      </c>
      <c r="F242" s="1" t="s">
        <v>701</v>
      </c>
    </row>
    <row r="243" spans="1:6" ht="24.95" customHeight="1">
      <c r="A243" s="11" t="s">
        <v>687</v>
      </c>
      <c r="B243" s="1">
        <f t="shared" si="3"/>
        <v>42</v>
      </c>
      <c r="C243" s="1" t="s">
        <v>507</v>
      </c>
      <c r="D243" s="1" t="s">
        <v>684</v>
      </c>
      <c r="E243" s="1" t="s">
        <v>685</v>
      </c>
      <c r="F243" s="1" t="s">
        <v>701</v>
      </c>
    </row>
    <row r="244" spans="1:6" ht="24.95" customHeight="1">
      <c r="A244" s="1" t="s">
        <v>8</v>
      </c>
      <c r="B244" s="1">
        <f t="shared" si="3"/>
        <v>100</v>
      </c>
      <c r="C244" s="6" t="s">
        <v>497</v>
      </c>
      <c r="D244" s="7" t="s">
        <v>519</v>
      </c>
      <c r="E244" s="1"/>
      <c r="F244" s="1" t="s">
        <v>699</v>
      </c>
    </row>
    <row r="245" spans="1:6" ht="24.95" customHeight="1">
      <c r="A245" s="16" t="s">
        <v>693</v>
      </c>
      <c r="B245" s="1">
        <f t="shared" si="3"/>
        <v>100</v>
      </c>
      <c r="C245" s="1" t="s">
        <v>694</v>
      </c>
      <c r="D245" s="1" t="s">
        <v>695</v>
      </c>
      <c r="E245" s="16" t="s">
        <v>696</v>
      </c>
      <c r="F245" s="16" t="s">
        <v>704</v>
      </c>
    </row>
    <row r="246" spans="1:6" ht="24.95" customHeight="1">
      <c r="A246" s="1" t="s">
        <v>8</v>
      </c>
      <c r="B246" s="1">
        <f t="shared" si="3"/>
        <v>101</v>
      </c>
      <c r="C246" s="6" t="s">
        <v>498</v>
      </c>
      <c r="D246" s="7" t="s">
        <v>520</v>
      </c>
      <c r="E246" s="1"/>
      <c r="F246" s="1" t="s">
        <v>699</v>
      </c>
    </row>
    <row r="247" spans="1:6" ht="24.95" customHeight="1">
      <c r="A247" s="1" t="s">
        <v>7</v>
      </c>
      <c r="B247" s="1">
        <f t="shared" si="3"/>
        <v>101</v>
      </c>
      <c r="C247" s="1" t="s">
        <v>20</v>
      </c>
      <c r="D247" s="1" t="s">
        <v>21</v>
      </c>
      <c r="E247" s="1"/>
      <c r="F247" s="16" t="s">
        <v>703</v>
      </c>
    </row>
    <row r="248" spans="1:6" ht="24.95" customHeight="1">
      <c r="A248" s="1" t="s">
        <v>8</v>
      </c>
      <c r="B248" s="1">
        <f t="shared" si="3"/>
        <v>102</v>
      </c>
      <c r="C248" s="6" t="s">
        <v>499</v>
      </c>
      <c r="D248" s="7" t="s">
        <v>521</v>
      </c>
      <c r="E248" s="1"/>
      <c r="F248" s="1" t="s">
        <v>699</v>
      </c>
    </row>
    <row r="249" spans="1:6" ht="24.95" customHeight="1">
      <c r="A249" s="1" t="s">
        <v>7</v>
      </c>
      <c r="B249" s="1">
        <f t="shared" si="3"/>
        <v>102</v>
      </c>
      <c r="C249" s="1" t="s">
        <v>36</v>
      </c>
      <c r="D249" s="1" t="s">
        <v>40</v>
      </c>
      <c r="E249" s="1"/>
      <c r="F249" s="16" t="s">
        <v>703</v>
      </c>
    </row>
    <row r="250" spans="1:6" ht="24.95" customHeight="1">
      <c r="A250" s="1" t="s">
        <v>7</v>
      </c>
      <c r="B250" s="1">
        <f t="shared" si="3"/>
        <v>103</v>
      </c>
      <c r="C250" s="1" t="s">
        <v>51</v>
      </c>
      <c r="D250" s="1" t="s">
        <v>54</v>
      </c>
      <c r="E250" s="1"/>
      <c r="F250" s="16" t="s">
        <v>703</v>
      </c>
    </row>
    <row r="251" spans="1:6" ht="24.95" customHeight="1">
      <c r="A251" s="1" t="s">
        <v>7</v>
      </c>
      <c r="B251" s="1">
        <f t="shared" si="3"/>
        <v>104</v>
      </c>
      <c r="C251" s="1" t="s">
        <v>63</v>
      </c>
      <c r="D251" s="1" t="s">
        <v>64</v>
      </c>
      <c r="E251" s="1"/>
      <c r="F251" s="16" t="s">
        <v>703</v>
      </c>
    </row>
    <row r="252" spans="1:6" ht="24.95" customHeight="1">
      <c r="A252" s="1" t="s">
        <v>7</v>
      </c>
      <c r="B252" s="1">
        <f t="shared" si="3"/>
        <v>105</v>
      </c>
      <c r="C252" s="1" t="s">
        <v>71</v>
      </c>
      <c r="D252" s="1" t="s">
        <v>73</v>
      </c>
      <c r="E252" s="1"/>
      <c r="F252" s="16" t="s">
        <v>703</v>
      </c>
    </row>
    <row r="253" spans="1:6" ht="24.95" customHeight="1">
      <c r="A253" s="1" t="s">
        <v>7</v>
      </c>
      <c r="B253" s="1">
        <f t="shared" si="3"/>
        <v>106</v>
      </c>
      <c r="C253" s="1"/>
      <c r="D253" s="1" t="s">
        <v>84</v>
      </c>
      <c r="E253" s="1"/>
      <c r="F253" s="16" t="s">
        <v>703</v>
      </c>
    </row>
    <row r="254" spans="1:6" ht="24.95" customHeight="1">
      <c r="A254" s="1" t="s">
        <v>7</v>
      </c>
      <c r="B254" s="1">
        <f t="shared" si="3"/>
        <v>107</v>
      </c>
      <c r="C254" s="1"/>
      <c r="D254" s="1" t="s">
        <v>93</v>
      </c>
      <c r="E254" s="1"/>
      <c r="F254" s="16" t="s">
        <v>703</v>
      </c>
    </row>
    <row r="255" spans="1:6" ht="24.95" customHeight="1">
      <c r="A255" s="1" t="s">
        <v>7</v>
      </c>
      <c r="B255" s="1">
        <f t="shared" si="3"/>
        <v>108</v>
      </c>
      <c r="C255" s="1"/>
      <c r="D255" s="1" t="s">
        <v>102</v>
      </c>
      <c r="E255" s="1"/>
      <c r="F255" s="16" t="s">
        <v>703</v>
      </c>
    </row>
    <row r="256" spans="1:6" ht="24.95" customHeight="1">
      <c r="A256" s="1" t="s">
        <v>7</v>
      </c>
      <c r="B256" s="1">
        <f t="shared" si="3"/>
        <v>109</v>
      </c>
      <c r="C256" s="1"/>
      <c r="D256" s="1" t="s">
        <v>108</v>
      </c>
      <c r="E256" s="1"/>
      <c r="F256" s="16" t="s">
        <v>703</v>
      </c>
    </row>
    <row r="257" spans="1:6" ht="24.95" customHeight="1">
      <c r="A257" s="1" t="s">
        <v>7</v>
      </c>
      <c r="B257" s="1">
        <f t="shared" si="3"/>
        <v>110</v>
      </c>
      <c r="C257" s="1"/>
      <c r="D257" s="1" t="s">
        <v>114</v>
      </c>
      <c r="E257" s="1"/>
      <c r="F257" s="16" t="s">
        <v>703</v>
      </c>
    </row>
    <row r="258" spans="1:6" ht="24.95" customHeight="1">
      <c r="A258" s="1" t="s">
        <v>7</v>
      </c>
      <c r="B258" s="1">
        <f t="shared" ref="B258:B321" si="4">VALUE(RIGHT(D258,LEN(D258)-LEN(A258)))</f>
        <v>111</v>
      </c>
      <c r="C258" s="5" t="s">
        <v>411</v>
      </c>
      <c r="D258" s="1" t="s">
        <v>120</v>
      </c>
      <c r="E258" s="1"/>
      <c r="F258" s="16" t="s">
        <v>703</v>
      </c>
    </row>
    <row r="259" spans="1:6" ht="24.95" customHeight="1">
      <c r="A259" s="1" t="s">
        <v>7</v>
      </c>
      <c r="B259" s="1">
        <f t="shared" si="4"/>
        <v>112</v>
      </c>
      <c r="C259" s="1"/>
      <c r="D259" s="1" t="s">
        <v>124</v>
      </c>
      <c r="E259" s="1"/>
      <c r="F259" s="16" t="s">
        <v>703</v>
      </c>
    </row>
    <row r="260" spans="1:6" ht="24.95" customHeight="1">
      <c r="A260" s="1" t="s">
        <v>7</v>
      </c>
      <c r="B260" s="1">
        <f t="shared" si="4"/>
        <v>113</v>
      </c>
      <c r="C260" s="1"/>
      <c r="D260" s="1" t="s">
        <v>129</v>
      </c>
      <c r="E260" s="1"/>
      <c r="F260" s="16" t="s">
        <v>703</v>
      </c>
    </row>
    <row r="261" spans="1:6" ht="24.95" customHeight="1">
      <c r="A261" s="1" t="s">
        <v>7</v>
      </c>
      <c r="B261" s="1">
        <f t="shared" si="4"/>
        <v>114</v>
      </c>
      <c r="C261" s="1"/>
      <c r="D261" s="1" t="s">
        <v>133</v>
      </c>
      <c r="E261" s="1"/>
      <c r="F261" s="16" t="s">
        <v>703</v>
      </c>
    </row>
    <row r="262" spans="1:6" ht="24.95" customHeight="1">
      <c r="A262" s="1" t="s">
        <v>7</v>
      </c>
      <c r="B262" s="1">
        <f t="shared" si="4"/>
        <v>115</v>
      </c>
      <c r="C262" s="11" t="s">
        <v>664</v>
      </c>
      <c r="D262" s="1" t="s">
        <v>136</v>
      </c>
      <c r="E262" s="1"/>
      <c r="F262" s="16" t="s">
        <v>703</v>
      </c>
    </row>
    <row r="263" spans="1:6" ht="24.95" customHeight="1">
      <c r="A263" s="1" t="s">
        <v>7</v>
      </c>
      <c r="B263" s="1">
        <f t="shared" si="4"/>
        <v>116</v>
      </c>
      <c r="C263" s="1"/>
      <c r="D263" s="1" t="s">
        <v>139</v>
      </c>
      <c r="E263" s="1"/>
      <c r="F263" s="16" t="s">
        <v>703</v>
      </c>
    </row>
    <row r="264" spans="1:6" ht="24.95" customHeight="1">
      <c r="A264" s="1" t="s">
        <v>7</v>
      </c>
      <c r="B264" s="1">
        <f t="shared" si="4"/>
        <v>117</v>
      </c>
      <c r="C264" s="1"/>
      <c r="D264" s="1" t="s">
        <v>143</v>
      </c>
      <c r="E264" s="1"/>
      <c r="F264" s="16" t="s">
        <v>703</v>
      </c>
    </row>
    <row r="265" spans="1:6" ht="24.95" customHeight="1">
      <c r="A265" s="1" t="s">
        <v>7</v>
      </c>
      <c r="B265" s="1">
        <f t="shared" si="4"/>
        <v>118</v>
      </c>
      <c r="C265" s="1"/>
      <c r="D265" s="1" t="s">
        <v>147</v>
      </c>
      <c r="E265" s="1"/>
      <c r="F265" s="16" t="s">
        <v>703</v>
      </c>
    </row>
    <row r="266" spans="1:6" ht="24.95" customHeight="1">
      <c r="A266" s="1" t="s">
        <v>7</v>
      </c>
      <c r="B266" s="1">
        <f t="shared" si="4"/>
        <v>119</v>
      </c>
      <c r="C266" s="1"/>
      <c r="D266" s="1" t="s">
        <v>150</v>
      </c>
      <c r="E266" s="1"/>
      <c r="F266" s="16" t="s">
        <v>703</v>
      </c>
    </row>
    <row r="267" spans="1:6" ht="24.95" customHeight="1">
      <c r="A267" s="1" t="s">
        <v>7</v>
      </c>
      <c r="B267" s="1">
        <f t="shared" si="4"/>
        <v>120</v>
      </c>
      <c r="C267" s="1"/>
      <c r="D267" s="1" t="s">
        <v>153</v>
      </c>
      <c r="E267" s="1"/>
      <c r="F267" s="16" t="s">
        <v>703</v>
      </c>
    </row>
    <row r="268" spans="1:6" ht="24.95" customHeight="1">
      <c r="A268" s="1" t="s">
        <v>7</v>
      </c>
      <c r="B268" s="1">
        <f t="shared" si="4"/>
        <v>121</v>
      </c>
      <c r="C268" s="1"/>
      <c r="D268" s="1" t="s">
        <v>156</v>
      </c>
      <c r="E268" s="1"/>
      <c r="F268" s="16" t="s">
        <v>703</v>
      </c>
    </row>
    <row r="269" spans="1:6" ht="24.95" customHeight="1">
      <c r="A269" s="1" t="s">
        <v>7</v>
      </c>
      <c r="B269" s="1">
        <f t="shared" si="4"/>
        <v>122</v>
      </c>
      <c r="C269" s="1"/>
      <c r="D269" s="1" t="s">
        <v>160</v>
      </c>
      <c r="E269" s="1"/>
      <c r="F269" s="16" t="s">
        <v>703</v>
      </c>
    </row>
    <row r="270" spans="1:6" ht="24.95" customHeight="1">
      <c r="A270" s="1" t="s">
        <v>7</v>
      </c>
      <c r="B270" s="1">
        <f t="shared" si="4"/>
        <v>123</v>
      </c>
      <c r="C270" s="1"/>
      <c r="D270" s="1" t="s">
        <v>164</v>
      </c>
      <c r="E270" s="1"/>
      <c r="F270" s="16" t="s">
        <v>703</v>
      </c>
    </row>
    <row r="271" spans="1:6" ht="24.95" customHeight="1">
      <c r="A271" s="1" t="s">
        <v>7</v>
      </c>
      <c r="B271" s="1">
        <f t="shared" si="4"/>
        <v>124</v>
      </c>
      <c r="C271" s="1"/>
      <c r="D271" s="1" t="s">
        <v>167</v>
      </c>
      <c r="E271" s="1"/>
      <c r="F271" s="16" t="s">
        <v>703</v>
      </c>
    </row>
    <row r="272" spans="1:6" ht="24.95" customHeight="1">
      <c r="A272" s="1" t="s">
        <v>7</v>
      </c>
      <c r="B272" s="1">
        <f t="shared" si="4"/>
        <v>125</v>
      </c>
      <c r="C272" s="1"/>
      <c r="D272" s="1" t="s">
        <v>168</v>
      </c>
      <c r="E272" s="1"/>
      <c r="F272" s="16" t="s">
        <v>703</v>
      </c>
    </row>
    <row r="273" spans="1:6" ht="24.95" customHeight="1">
      <c r="A273" s="1" t="s">
        <v>7</v>
      </c>
      <c r="B273" s="1">
        <f t="shared" si="4"/>
        <v>126</v>
      </c>
      <c r="C273" s="1"/>
      <c r="D273" s="1" t="s">
        <v>173</v>
      </c>
      <c r="E273" s="1"/>
      <c r="F273" s="16" t="s">
        <v>703</v>
      </c>
    </row>
    <row r="274" spans="1:6" ht="24.95" customHeight="1">
      <c r="A274" s="1" t="s">
        <v>7</v>
      </c>
      <c r="B274" s="1">
        <f t="shared" si="4"/>
        <v>127</v>
      </c>
      <c r="C274" s="1"/>
      <c r="D274" s="1" t="s">
        <v>178</v>
      </c>
      <c r="E274" s="1"/>
      <c r="F274" s="16" t="s">
        <v>703</v>
      </c>
    </row>
    <row r="275" spans="1:6" ht="24.95" customHeight="1">
      <c r="A275" s="1" t="s">
        <v>7</v>
      </c>
      <c r="B275" s="1">
        <f t="shared" si="4"/>
        <v>128</v>
      </c>
      <c r="C275" s="1"/>
      <c r="D275" s="1" t="s">
        <v>182</v>
      </c>
      <c r="E275" s="1"/>
      <c r="F275" s="16" t="s">
        <v>703</v>
      </c>
    </row>
    <row r="276" spans="1:6" ht="24.95" customHeight="1">
      <c r="A276" s="1" t="s">
        <v>7</v>
      </c>
      <c r="B276" s="1">
        <f t="shared" si="4"/>
        <v>129</v>
      </c>
      <c r="C276" s="1"/>
      <c r="D276" s="1" t="s">
        <v>187</v>
      </c>
      <c r="E276" s="1"/>
      <c r="F276" s="16" t="s">
        <v>703</v>
      </c>
    </row>
    <row r="277" spans="1:6" ht="24.95" customHeight="1">
      <c r="A277" s="1" t="s">
        <v>7</v>
      </c>
      <c r="B277" s="1">
        <f t="shared" si="4"/>
        <v>130</v>
      </c>
      <c r="C277" s="1"/>
      <c r="D277" s="1" t="s">
        <v>192</v>
      </c>
      <c r="E277" s="1"/>
      <c r="F277" s="16" t="s">
        <v>703</v>
      </c>
    </row>
    <row r="278" spans="1:6" ht="24.95" customHeight="1">
      <c r="A278" s="1" t="s">
        <v>7</v>
      </c>
      <c r="B278" s="1">
        <f t="shared" si="4"/>
        <v>131</v>
      </c>
      <c r="C278" s="1"/>
      <c r="D278" s="1" t="s">
        <v>196</v>
      </c>
      <c r="E278" s="1"/>
      <c r="F278" s="16" t="s">
        <v>703</v>
      </c>
    </row>
    <row r="279" spans="1:6" ht="24.95" customHeight="1">
      <c r="A279" s="1" t="s">
        <v>7</v>
      </c>
      <c r="B279" s="1">
        <f t="shared" si="4"/>
        <v>132</v>
      </c>
      <c r="C279" s="1"/>
      <c r="D279" s="1" t="s">
        <v>199</v>
      </c>
      <c r="E279" s="1"/>
      <c r="F279" s="16" t="s">
        <v>703</v>
      </c>
    </row>
    <row r="280" spans="1:6" ht="24.95" customHeight="1">
      <c r="A280" s="1" t="s">
        <v>7</v>
      </c>
      <c r="B280" s="1">
        <f t="shared" si="4"/>
        <v>133</v>
      </c>
      <c r="C280" s="1"/>
      <c r="D280" s="1" t="s">
        <v>202</v>
      </c>
      <c r="E280" s="1"/>
      <c r="F280" s="16" t="s">
        <v>703</v>
      </c>
    </row>
    <row r="281" spans="1:6" ht="24.95" customHeight="1">
      <c r="A281" s="1" t="s">
        <v>7</v>
      </c>
      <c r="B281" s="1">
        <f t="shared" si="4"/>
        <v>134</v>
      </c>
      <c r="C281" s="1"/>
      <c r="D281" s="1" t="s">
        <v>206</v>
      </c>
      <c r="E281" s="1"/>
      <c r="F281" s="16" t="s">
        <v>703</v>
      </c>
    </row>
    <row r="282" spans="1:6" ht="24.95" customHeight="1">
      <c r="A282" s="1" t="s">
        <v>7</v>
      </c>
      <c r="B282" s="1">
        <f t="shared" si="4"/>
        <v>135</v>
      </c>
      <c r="C282" s="1"/>
      <c r="D282" s="1" t="s">
        <v>210</v>
      </c>
      <c r="E282" s="1"/>
      <c r="F282" s="16" t="s">
        <v>703</v>
      </c>
    </row>
    <row r="283" spans="1:6" ht="24.95" customHeight="1">
      <c r="A283" s="1" t="s">
        <v>7</v>
      </c>
      <c r="B283" s="1">
        <f t="shared" si="4"/>
        <v>136</v>
      </c>
      <c r="C283" s="1"/>
      <c r="D283" s="1" t="s">
        <v>214</v>
      </c>
      <c r="E283" s="1"/>
      <c r="F283" s="16" t="s">
        <v>703</v>
      </c>
    </row>
    <row r="284" spans="1:6" ht="24.95" customHeight="1">
      <c r="A284" s="1" t="s">
        <v>7</v>
      </c>
      <c r="B284" s="1">
        <f t="shared" si="4"/>
        <v>137</v>
      </c>
      <c r="C284" s="1"/>
      <c r="D284" s="1" t="s">
        <v>218</v>
      </c>
      <c r="E284" s="1"/>
      <c r="F284" s="16" t="s">
        <v>703</v>
      </c>
    </row>
    <row r="285" spans="1:6" ht="24.95" customHeight="1">
      <c r="A285" s="1" t="s">
        <v>7</v>
      </c>
      <c r="B285" s="1">
        <f t="shared" si="4"/>
        <v>138</v>
      </c>
      <c r="C285" s="1"/>
      <c r="D285" s="1" t="s">
        <v>222</v>
      </c>
      <c r="E285" s="1"/>
      <c r="F285" s="16" t="s">
        <v>703</v>
      </c>
    </row>
    <row r="286" spans="1:6" ht="24.95" customHeight="1">
      <c r="A286" s="1" t="s">
        <v>7</v>
      </c>
      <c r="B286" s="1">
        <f t="shared" si="4"/>
        <v>139</v>
      </c>
      <c r="C286" s="1"/>
      <c r="D286" s="1" t="s">
        <v>226</v>
      </c>
      <c r="E286" s="1"/>
      <c r="F286" s="16" t="s">
        <v>703</v>
      </c>
    </row>
    <row r="287" spans="1:6" ht="24.95" customHeight="1">
      <c r="A287" s="1" t="s">
        <v>7</v>
      </c>
      <c r="B287" s="1">
        <f t="shared" si="4"/>
        <v>140</v>
      </c>
      <c r="C287" s="1"/>
      <c r="D287" s="1" t="s">
        <v>230</v>
      </c>
      <c r="E287" s="1"/>
      <c r="F287" s="16" t="s">
        <v>703</v>
      </c>
    </row>
    <row r="288" spans="1:6" ht="24.95" customHeight="1">
      <c r="A288" s="1" t="s">
        <v>7</v>
      </c>
      <c r="B288" s="1">
        <f t="shared" si="4"/>
        <v>141</v>
      </c>
      <c r="C288" s="1"/>
      <c r="D288" s="1" t="s">
        <v>233</v>
      </c>
      <c r="E288" s="1"/>
      <c r="F288" s="16" t="s">
        <v>703</v>
      </c>
    </row>
    <row r="289" spans="1:6" ht="24.95" customHeight="1">
      <c r="A289" s="1" t="s">
        <v>7</v>
      </c>
      <c r="B289" s="1">
        <f t="shared" si="4"/>
        <v>142</v>
      </c>
      <c r="C289" s="1"/>
      <c r="D289" s="1" t="s">
        <v>237</v>
      </c>
      <c r="E289" s="1"/>
      <c r="F289" s="16" t="s">
        <v>703</v>
      </c>
    </row>
    <row r="290" spans="1:6" ht="24.95" customHeight="1">
      <c r="A290" s="1" t="s">
        <v>7</v>
      </c>
      <c r="B290" s="1">
        <f t="shared" si="4"/>
        <v>143</v>
      </c>
      <c r="C290" s="1"/>
      <c r="D290" s="1" t="s">
        <v>240</v>
      </c>
      <c r="E290" s="1"/>
      <c r="F290" s="16" t="s">
        <v>703</v>
      </c>
    </row>
    <row r="291" spans="1:6" ht="24.95" customHeight="1">
      <c r="A291" s="1" t="s">
        <v>7</v>
      </c>
      <c r="B291" s="1">
        <f t="shared" si="4"/>
        <v>144</v>
      </c>
      <c r="C291" s="1"/>
      <c r="D291" s="1" t="s">
        <v>243</v>
      </c>
      <c r="E291" s="1"/>
      <c r="F291" s="16" t="s">
        <v>703</v>
      </c>
    </row>
    <row r="292" spans="1:6" ht="24.95" customHeight="1">
      <c r="A292" s="1" t="s">
        <v>7</v>
      </c>
      <c r="B292" s="1">
        <f t="shared" si="4"/>
        <v>145</v>
      </c>
      <c r="C292" s="1"/>
      <c r="D292" s="1" t="s">
        <v>246</v>
      </c>
      <c r="E292" s="1"/>
      <c r="F292" s="16" t="s">
        <v>703</v>
      </c>
    </row>
    <row r="293" spans="1:6" ht="24.95" customHeight="1">
      <c r="A293" s="1" t="s">
        <v>7</v>
      </c>
      <c r="B293" s="1">
        <f t="shared" si="4"/>
        <v>146</v>
      </c>
      <c r="C293" s="1"/>
      <c r="D293" s="1" t="s">
        <v>249</v>
      </c>
      <c r="E293" s="1"/>
      <c r="F293" s="16" t="s">
        <v>703</v>
      </c>
    </row>
    <row r="294" spans="1:6" ht="24.95" customHeight="1">
      <c r="A294" s="1" t="s">
        <v>7</v>
      </c>
      <c r="B294" s="1">
        <f t="shared" si="4"/>
        <v>147</v>
      </c>
      <c r="C294" s="1"/>
      <c r="D294" s="1" t="s">
        <v>252</v>
      </c>
      <c r="E294" s="1"/>
      <c r="F294" s="16" t="s">
        <v>703</v>
      </c>
    </row>
    <row r="295" spans="1:6" ht="24.95" customHeight="1">
      <c r="A295" s="1" t="s">
        <v>7</v>
      </c>
      <c r="B295" s="1">
        <f t="shared" si="4"/>
        <v>148</v>
      </c>
      <c r="C295" s="1"/>
      <c r="D295" s="1" t="s">
        <v>255</v>
      </c>
      <c r="E295" s="1"/>
      <c r="F295" s="16" t="s">
        <v>703</v>
      </c>
    </row>
    <row r="296" spans="1:6" ht="24.95" customHeight="1">
      <c r="A296" s="1" t="s">
        <v>7</v>
      </c>
      <c r="B296" s="1">
        <f t="shared" si="4"/>
        <v>149</v>
      </c>
      <c r="C296" s="1"/>
      <c r="D296" s="1" t="s">
        <v>257</v>
      </c>
      <c r="E296" s="1"/>
      <c r="F296" s="16" t="s">
        <v>703</v>
      </c>
    </row>
    <row r="297" spans="1:6" ht="24.95" customHeight="1">
      <c r="A297" s="1" t="s">
        <v>7</v>
      </c>
      <c r="B297" s="1">
        <f t="shared" si="4"/>
        <v>150</v>
      </c>
      <c r="C297" s="1"/>
      <c r="D297" s="1" t="s">
        <v>260</v>
      </c>
      <c r="E297" s="1"/>
      <c r="F297" s="16" t="s">
        <v>703</v>
      </c>
    </row>
    <row r="298" spans="1:6" ht="24.95" customHeight="1">
      <c r="A298" s="1" t="s">
        <v>7</v>
      </c>
      <c r="B298" s="1">
        <f t="shared" si="4"/>
        <v>151</v>
      </c>
      <c r="C298" s="1"/>
      <c r="D298" s="1" t="s">
        <v>263</v>
      </c>
      <c r="E298" s="1"/>
      <c r="F298" s="16" t="s">
        <v>703</v>
      </c>
    </row>
    <row r="299" spans="1:6" ht="24.95" customHeight="1">
      <c r="A299" s="1" t="s">
        <v>7</v>
      </c>
      <c r="B299" s="1">
        <f t="shared" si="4"/>
        <v>152</v>
      </c>
      <c r="C299" s="1"/>
      <c r="D299" s="1" t="s">
        <v>266</v>
      </c>
      <c r="E299" s="1"/>
      <c r="F299" s="16" t="s">
        <v>703</v>
      </c>
    </row>
    <row r="300" spans="1:6" ht="24.95" customHeight="1">
      <c r="A300" s="1" t="s">
        <v>7</v>
      </c>
      <c r="B300" s="1">
        <f t="shared" si="4"/>
        <v>153</v>
      </c>
      <c r="C300" s="1"/>
      <c r="D300" s="1" t="s">
        <v>269</v>
      </c>
      <c r="E300" s="1"/>
      <c r="F300" s="16" t="s">
        <v>703</v>
      </c>
    </row>
    <row r="301" spans="1:6" ht="24.95" customHeight="1">
      <c r="A301" s="1" t="s">
        <v>7</v>
      </c>
      <c r="B301" s="1">
        <f t="shared" si="4"/>
        <v>154</v>
      </c>
      <c r="C301" s="1"/>
      <c r="D301" s="1" t="s">
        <v>272</v>
      </c>
      <c r="E301" s="1"/>
      <c r="F301" s="16" t="s">
        <v>703</v>
      </c>
    </row>
    <row r="302" spans="1:6" ht="24.95" customHeight="1">
      <c r="A302" s="1" t="s">
        <v>7</v>
      </c>
      <c r="B302" s="1">
        <f t="shared" si="4"/>
        <v>155</v>
      </c>
      <c r="C302" s="1"/>
      <c r="D302" s="1" t="s">
        <v>275</v>
      </c>
      <c r="E302" s="1"/>
      <c r="F302" s="16" t="s">
        <v>703</v>
      </c>
    </row>
    <row r="303" spans="1:6" ht="24.95" customHeight="1">
      <c r="A303" s="1" t="s">
        <v>7</v>
      </c>
      <c r="B303" s="1">
        <f t="shared" si="4"/>
        <v>156</v>
      </c>
      <c r="C303" s="1"/>
      <c r="D303" s="1" t="s">
        <v>278</v>
      </c>
      <c r="E303" s="1"/>
      <c r="F303" s="16" t="s">
        <v>703</v>
      </c>
    </row>
    <row r="304" spans="1:6" ht="24.95" customHeight="1">
      <c r="A304" s="1" t="s">
        <v>7</v>
      </c>
      <c r="B304" s="1">
        <f t="shared" si="4"/>
        <v>157</v>
      </c>
      <c r="C304" s="1"/>
      <c r="D304" s="1" t="s">
        <v>280</v>
      </c>
      <c r="E304" s="1"/>
      <c r="F304" s="16" t="s">
        <v>703</v>
      </c>
    </row>
    <row r="305" spans="1:6" ht="24.95" customHeight="1">
      <c r="A305" s="1" t="s">
        <v>7</v>
      </c>
      <c r="B305" s="1">
        <f t="shared" si="4"/>
        <v>158</v>
      </c>
      <c r="C305" s="1"/>
      <c r="D305" s="1" t="s">
        <v>283</v>
      </c>
      <c r="E305" s="1"/>
      <c r="F305" s="16" t="s">
        <v>703</v>
      </c>
    </row>
    <row r="306" spans="1:6" ht="24.95" customHeight="1">
      <c r="A306" s="1" t="s">
        <v>7</v>
      </c>
      <c r="B306" s="1">
        <f t="shared" si="4"/>
        <v>159</v>
      </c>
      <c r="C306" s="1"/>
      <c r="D306" s="1" t="s">
        <v>287</v>
      </c>
      <c r="E306" s="1"/>
      <c r="F306" s="16" t="s">
        <v>703</v>
      </c>
    </row>
    <row r="307" spans="1:6" ht="24.95" customHeight="1">
      <c r="A307" s="1" t="s">
        <v>7</v>
      </c>
      <c r="B307" s="1">
        <f t="shared" si="4"/>
        <v>160</v>
      </c>
      <c r="C307" s="1"/>
      <c r="D307" s="1" t="s">
        <v>290</v>
      </c>
      <c r="E307" s="1"/>
      <c r="F307" s="16" t="s">
        <v>703</v>
      </c>
    </row>
    <row r="308" spans="1:6" ht="24.95" customHeight="1">
      <c r="A308" s="1" t="s">
        <v>7</v>
      </c>
      <c r="B308" s="1">
        <f t="shared" si="4"/>
        <v>161</v>
      </c>
      <c r="C308" s="1"/>
      <c r="D308" s="1" t="s">
        <v>293</v>
      </c>
      <c r="E308" s="1"/>
      <c r="F308" s="16" t="s">
        <v>703</v>
      </c>
    </row>
    <row r="309" spans="1:6" ht="24.95" customHeight="1">
      <c r="A309" s="1" t="s">
        <v>7</v>
      </c>
      <c r="B309" s="1">
        <f t="shared" si="4"/>
        <v>162</v>
      </c>
      <c r="C309" s="1"/>
      <c r="D309" s="1" t="s">
        <v>296</v>
      </c>
      <c r="E309" s="1"/>
      <c r="F309" s="16" t="s">
        <v>703</v>
      </c>
    </row>
    <row r="310" spans="1:6" ht="24.95" customHeight="1">
      <c r="A310" s="1" t="s">
        <v>7</v>
      </c>
      <c r="B310" s="1">
        <f t="shared" si="4"/>
        <v>163</v>
      </c>
      <c r="C310" s="1"/>
      <c r="D310" s="1" t="s">
        <v>299</v>
      </c>
      <c r="E310" s="1"/>
      <c r="F310" s="16" t="s">
        <v>703</v>
      </c>
    </row>
    <row r="311" spans="1:6" ht="24.95" customHeight="1">
      <c r="A311" s="1" t="s">
        <v>7</v>
      </c>
      <c r="B311" s="1">
        <f t="shared" si="4"/>
        <v>164</v>
      </c>
      <c r="C311" s="1"/>
      <c r="D311" s="1" t="s">
        <v>302</v>
      </c>
      <c r="E311" s="1"/>
      <c r="F311" s="16" t="s">
        <v>703</v>
      </c>
    </row>
    <row r="312" spans="1:6" ht="24.95" customHeight="1">
      <c r="A312" s="1" t="s">
        <v>7</v>
      </c>
      <c r="B312" s="1">
        <f t="shared" si="4"/>
        <v>165</v>
      </c>
      <c r="C312" s="1"/>
      <c r="D312" s="1" t="s">
        <v>304</v>
      </c>
      <c r="E312" s="1"/>
      <c r="F312" s="16" t="s">
        <v>703</v>
      </c>
    </row>
    <row r="313" spans="1:6" ht="24.95" customHeight="1">
      <c r="A313" s="1" t="s">
        <v>7</v>
      </c>
      <c r="B313" s="1">
        <f t="shared" si="4"/>
        <v>166</v>
      </c>
      <c r="C313" s="1"/>
      <c r="D313" s="1" t="s">
        <v>308</v>
      </c>
      <c r="E313" s="1"/>
      <c r="F313" s="16" t="s">
        <v>703</v>
      </c>
    </row>
    <row r="314" spans="1:6" ht="24.95" customHeight="1">
      <c r="A314" s="1" t="s">
        <v>5</v>
      </c>
      <c r="B314" s="1">
        <f t="shared" si="4"/>
        <v>200</v>
      </c>
      <c r="C314" s="5" t="s">
        <v>412</v>
      </c>
      <c r="D314" s="1" t="s">
        <v>635</v>
      </c>
      <c r="E314" s="1"/>
      <c r="F314" s="16" t="s">
        <v>704</v>
      </c>
    </row>
    <row r="315" spans="1:6" ht="24.95" customHeight="1">
      <c r="A315" s="1" t="s">
        <v>5</v>
      </c>
      <c r="B315" s="1">
        <f t="shared" si="4"/>
        <v>202</v>
      </c>
      <c r="C315" s="5" t="s">
        <v>416</v>
      </c>
      <c r="D315" s="1" t="s">
        <v>636</v>
      </c>
      <c r="E315" s="1"/>
      <c r="F315" s="16" t="s">
        <v>704</v>
      </c>
    </row>
    <row r="316" spans="1:6" ht="24.95" customHeight="1">
      <c r="A316" s="1" t="s">
        <v>5</v>
      </c>
      <c r="B316" s="1">
        <f t="shared" si="4"/>
        <v>204</v>
      </c>
      <c r="C316" s="1" t="s">
        <v>51</v>
      </c>
      <c r="D316" s="1" t="s">
        <v>637</v>
      </c>
      <c r="E316" s="1"/>
      <c r="F316" s="16" t="s">
        <v>704</v>
      </c>
    </row>
    <row r="317" spans="1:6" ht="24.95" customHeight="1">
      <c r="A317" s="1" t="s">
        <v>5</v>
      </c>
      <c r="B317" s="1">
        <f t="shared" si="4"/>
        <v>206</v>
      </c>
      <c r="C317" s="1" t="s">
        <v>20</v>
      </c>
      <c r="D317" s="1" t="s">
        <v>638</v>
      </c>
      <c r="E317" s="1"/>
      <c r="F317" s="16" t="s">
        <v>704</v>
      </c>
    </row>
    <row r="318" spans="1:6" ht="24.95" customHeight="1">
      <c r="A318" s="1" t="s">
        <v>5</v>
      </c>
      <c r="B318" s="1">
        <f t="shared" si="4"/>
        <v>208</v>
      </c>
      <c r="C318" s="6" t="s">
        <v>487</v>
      </c>
      <c r="D318" s="1" t="s">
        <v>639</v>
      </c>
      <c r="E318" s="1"/>
      <c r="F318" s="16" t="s">
        <v>704</v>
      </c>
    </row>
    <row r="319" spans="1:6" ht="24.95" customHeight="1">
      <c r="A319" s="1" t="s">
        <v>5</v>
      </c>
      <c r="B319" s="1">
        <f t="shared" si="4"/>
        <v>210</v>
      </c>
      <c r="C319" s="1" t="s">
        <v>80</v>
      </c>
      <c r="D319" s="1" t="s">
        <v>640</v>
      </c>
      <c r="E319" s="1"/>
      <c r="F319" s="1" t="s">
        <v>701</v>
      </c>
    </row>
    <row r="320" spans="1:6" ht="24.95" customHeight="1">
      <c r="A320" s="1" t="s">
        <v>5</v>
      </c>
      <c r="B320" s="1">
        <f t="shared" si="4"/>
        <v>212</v>
      </c>
      <c r="C320" s="1"/>
      <c r="D320" s="1" t="s">
        <v>641</v>
      </c>
      <c r="E320" s="1"/>
      <c r="F320" s="1"/>
    </row>
    <row r="321" spans="1:6" ht="24.95" customHeight="1">
      <c r="A321" s="1" t="s">
        <v>5</v>
      </c>
      <c r="B321" s="1">
        <f t="shared" si="4"/>
        <v>214</v>
      </c>
      <c r="C321" s="1"/>
      <c r="D321" s="1" t="s">
        <v>642</v>
      </c>
      <c r="E321" s="1"/>
      <c r="F321" s="1"/>
    </row>
    <row r="322" spans="1:6" ht="24.95" customHeight="1">
      <c r="A322" s="1" t="s">
        <v>5</v>
      </c>
      <c r="B322" s="1">
        <f t="shared" ref="B322:B385" si="5">VALUE(RIGHT(D322,LEN(D322)-LEN(A322)))</f>
        <v>216</v>
      </c>
      <c r="C322" s="1"/>
      <c r="D322" s="1" t="s">
        <v>643</v>
      </c>
      <c r="E322" s="1"/>
      <c r="F322" s="1"/>
    </row>
    <row r="323" spans="1:6" ht="24.95" customHeight="1">
      <c r="A323" s="1" t="s">
        <v>5</v>
      </c>
      <c r="B323" s="1">
        <f t="shared" si="5"/>
        <v>218</v>
      </c>
      <c r="C323" s="1"/>
      <c r="D323" s="1" t="s">
        <v>644</v>
      </c>
      <c r="E323" s="1"/>
      <c r="F323" s="1"/>
    </row>
    <row r="324" spans="1:6" ht="24.95" customHeight="1">
      <c r="A324" s="1" t="s">
        <v>5</v>
      </c>
      <c r="B324" s="1">
        <f t="shared" si="5"/>
        <v>220</v>
      </c>
      <c r="C324" s="16" t="s">
        <v>706</v>
      </c>
      <c r="D324" s="1" t="s">
        <v>645</v>
      </c>
      <c r="E324" s="1" t="s">
        <v>117</v>
      </c>
      <c r="F324" s="16" t="s">
        <v>704</v>
      </c>
    </row>
    <row r="325" spans="1:6" ht="24.95" customHeight="1">
      <c r="A325" s="1" t="s">
        <v>5</v>
      </c>
      <c r="B325" s="1">
        <f t="shared" si="5"/>
        <v>222</v>
      </c>
      <c r="C325" s="16" t="s">
        <v>707</v>
      </c>
      <c r="D325" s="1" t="s">
        <v>646</v>
      </c>
      <c r="E325" s="1" t="s">
        <v>117</v>
      </c>
      <c r="F325" s="16" t="s">
        <v>704</v>
      </c>
    </row>
    <row r="326" spans="1:6" ht="24.95" customHeight="1">
      <c r="A326" s="1" t="s">
        <v>5</v>
      </c>
      <c r="B326" s="1">
        <f t="shared" si="5"/>
        <v>224</v>
      </c>
      <c r="C326" s="16" t="s">
        <v>708</v>
      </c>
      <c r="D326" s="1" t="s">
        <v>647</v>
      </c>
      <c r="E326" s="1" t="s">
        <v>117</v>
      </c>
      <c r="F326" s="16" t="s">
        <v>704</v>
      </c>
    </row>
    <row r="327" spans="1:6" ht="24.95" customHeight="1">
      <c r="A327" s="1" t="s">
        <v>5</v>
      </c>
      <c r="B327" s="1">
        <f t="shared" si="5"/>
        <v>226</v>
      </c>
      <c r="C327" s="16" t="s">
        <v>709</v>
      </c>
      <c r="D327" s="1" t="s">
        <v>648</v>
      </c>
      <c r="E327" s="1" t="s">
        <v>117</v>
      </c>
      <c r="F327" s="16" t="s">
        <v>704</v>
      </c>
    </row>
    <row r="328" spans="1:6" ht="24.95" customHeight="1">
      <c r="A328" s="1" t="s">
        <v>5</v>
      </c>
      <c r="B328" s="1">
        <f t="shared" si="5"/>
        <v>228</v>
      </c>
      <c r="C328" s="16" t="s">
        <v>710</v>
      </c>
      <c r="D328" s="1" t="s">
        <v>649</v>
      </c>
      <c r="E328" s="1" t="s">
        <v>117</v>
      </c>
      <c r="F328" s="16" t="s">
        <v>704</v>
      </c>
    </row>
    <row r="329" spans="1:6" ht="24.95" customHeight="1">
      <c r="A329" s="1" t="s">
        <v>5</v>
      </c>
      <c r="B329" s="1">
        <f t="shared" si="5"/>
        <v>230</v>
      </c>
      <c r="C329" s="16" t="s">
        <v>711</v>
      </c>
      <c r="D329" s="1" t="s">
        <v>650</v>
      </c>
      <c r="E329" s="1" t="s">
        <v>117</v>
      </c>
      <c r="F329" s="16" t="s">
        <v>704</v>
      </c>
    </row>
    <row r="330" spans="1:6" ht="24.95" customHeight="1">
      <c r="A330" s="1" t="s">
        <v>5</v>
      </c>
      <c r="B330" s="1">
        <f t="shared" si="5"/>
        <v>232</v>
      </c>
      <c r="C330" s="16" t="s">
        <v>712</v>
      </c>
      <c r="D330" s="1" t="s">
        <v>651</v>
      </c>
      <c r="E330" s="16" t="s">
        <v>705</v>
      </c>
      <c r="F330" s="16" t="s">
        <v>704</v>
      </c>
    </row>
    <row r="331" spans="1:6" ht="24.95" customHeight="1">
      <c r="A331" s="1" t="s">
        <v>5</v>
      </c>
      <c r="B331" s="1">
        <f t="shared" si="5"/>
        <v>234</v>
      </c>
      <c r="C331" s="16" t="s">
        <v>713</v>
      </c>
      <c r="D331" s="1" t="s">
        <v>652</v>
      </c>
      <c r="E331" s="1" t="s">
        <v>140</v>
      </c>
      <c r="F331" s="16" t="s">
        <v>704</v>
      </c>
    </row>
    <row r="332" spans="1:6" ht="24.95" customHeight="1">
      <c r="A332" s="1" t="s">
        <v>5</v>
      </c>
      <c r="B332" s="1">
        <f t="shared" si="5"/>
        <v>236</v>
      </c>
      <c r="C332" s="16" t="s">
        <v>714</v>
      </c>
      <c r="D332" s="1" t="s">
        <v>653</v>
      </c>
      <c r="E332" s="1" t="s">
        <v>140</v>
      </c>
      <c r="F332" s="16" t="s">
        <v>704</v>
      </c>
    </row>
    <row r="333" spans="1:6" ht="24.95" customHeight="1">
      <c r="A333" s="1" t="s">
        <v>5</v>
      </c>
      <c r="B333" s="1">
        <f t="shared" si="5"/>
        <v>238</v>
      </c>
      <c r="C333" s="16" t="s">
        <v>715</v>
      </c>
      <c r="D333" s="1" t="s">
        <v>654</v>
      </c>
      <c r="E333" s="1" t="s">
        <v>140</v>
      </c>
      <c r="F333" s="16" t="s">
        <v>704</v>
      </c>
    </row>
    <row r="334" spans="1:6" ht="24.95" customHeight="1">
      <c r="A334" s="1" t="s">
        <v>5</v>
      </c>
      <c r="B334" s="1">
        <f t="shared" si="5"/>
        <v>240</v>
      </c>
      <c r="C334" s="16" t="s">
        <v>716</v>
      </c>
      <c r="D334" s="1" t="s">
        <v>655</v>
      </c>
      <c r="E334" s="1" t="s">
        <v>140</v>
      </c>
      <c r="F334" s="16" t="s">
        <v>704</v>
      </c>
    </row>
    <row r="335" spans="1:6" ht="24.95" customHeight="1">
      <c r="A335" s="1" t="s">
        <v>5</v>
      </c>
      <c r="B335" s="1">
        <f t="shared" si="5"/>
        <v>242</v>
      </c>
      <c r="C335" s="16" t="s">
        <v>717</v>
      </c>
      <c r="D335" s="1" t="s">
        <v>656</v>
      </c>
      <c r="E335" s="1" t="s">
        <v>140</v>
      </c>
      <c r="F335" s="16" t="s">
        <v>704</v>
      </c>
    </row>
    <row r="336" spans="1:6" ht="24.95" customHeight="1">
      <c r="A336" s="1" t="s">
        <v>5</v>
      </c>
      <c r="B336" s="1">
        <f t="shared" si="5"/>
        <v>244</v>
      </c>
      <c r="C336" s="5" t="s">
        <v>410</v>
      </c>
      <c r="D336" s="1" t="s">
        <v>657</v>
      </c>
      <c r="E336" s="1" t="s">
        <v>140</v>
      </c>
      <c r="F336" s="16" t="s">
        <v>704</v>
      </c>
    </row>
    <row r="337" spans="1:6" ht="24.95" customHeight="1">
      <c r="A337" s="1" t="s">
        <v>6</v>
      </c>
      <c r="B337" s="1">
        <f t="shared" si="5"/>
        <v>300</v>
      </c>
      <c r="C337" s="5" t="s">
        <v>419</v>
      </c>
      <c r="D337" s="1" t="s">
        <v>660</v>
      </c>
      <c r="E337" s="1"/>
      <c r="F337" s="1" t="s">
        <v>701</v>
      </c>
    </row>
    <row r="338" spans="1:6" ht="24.95" customHeight="1">
      <c r="A338" s="1" t="s">
        <v>6</v>
      </c>
      <c r="B338" s="1">
        <f t="shared" si="5"/>
        <v>304</v>
      </c>
      <c r="C338" s="5" t="s">
        <v>420</v>
      </c>
      <c r="D338" s="1" t="s">
        <v>661</v>
      </c>
      <c r="E338" s="1"/>
      <c r="F338" s="1" t="s">
        <v>701</v>
      </c>
    </row>
    <row r="339" spans="1:6" ht="24.95" customHeight="1">
      <c r="A339" s="1" t="s">
        <v>6</v>
      </c>
      <c r="B339" s="1">
        <f t="shared" si="5"/>
        <v>500</v>
      </c>
      <c r="C339" s="1"/>
      <c r="D339" s="1" t="s">
        <v>19</v>
      </c>
      <c r="E339" s="1"/>
      <c r="F339" s="1"/>
    </row>
    <row r="340" spans="1:6" ht="24.95" customHeight="1">
      <c r="A340" s="1" t="s">
        <v>6</v>
      </c>
      <c r="B340" s="1">
        <f t="shared" si="5"/>
        <v>504</v>
      </c>
      <c r="C340" s="1" t="s">
        <v>37</v>
      </c>
      <c r="D340" s="1" t="s">
        <v>39</v>
      </c>
      <c r="E340" s="1" t="s">
        <v>38</v>
      </c>
      <c r="F340" s="1" t="s">
        <v>701</v>
      </c>
    </row>
    <row r="341" spans="1:6" ht="24.95" customHeight="1">
      <c r="A341" s="1" t="s">
        <v>6</v>
      </c>
      <c r="B341" s="1">
        <f t="shared" si="5"/>
        <v>508</v>
      </c>
      <c r="C341" s="1" t="s">
        <v>52</v>
      </c>
      <c r="D341" s="1" t="s">
        <v>53</v>
      </c>
      <c r="E341" s="1" t="s">
        <v>38</v>
      </c>
      <c r="F341" s="1" t="s">
        <v>701</v>
      </c>
    </row>
    <row r="342" spans="1:6" ht="24.95" customHeight="1">
      <c r="A342" s="1" t="s">
        <v>6</v>
      </c>
      <c r="B342" s="1">
        <f t="shared" si="5"/>
        <v>512</v>
      </c>
      <c r="C342" s="1" t="s">
        <v>61</v>
      </c>
      <c r="D342" s="1" t="s">
        <v>62</v>
      </c>
      <c r="E342" s="1" t="s">
        <v>38</v>
      </c>
      <c r="F342" s="1" t="s">
        <v>701</v>
      </c>
    </row>
    <row r="343" spans="1:6" ht="24.95" customHeight="1">
      <c r="A343" s="1" t="s">
        <v>6</v>
      </c>
      <c r="B343" s="1">
        <f t="shared" si="5"/>
        <v>516</v>
      </c>
      <c r="C343" s="1"/>
      <c r="D343" s="1" t="s">
        <v>72</v>
      </c>
      <c r="E343" s="1"/>
      <c r="F343" s="1"/>
    </row>
    <row r="344" spans="1:6" ht="24.95" customHeight="1">
      <c r="A344" s="1" t="s">
        <v>6</v>
      </c>
      <c r="B344" s="1">
        <f t="shared" si="5"/>
        <v>520</v>
      </c>
      <c r="C344" s="1" t="s">
        <v>81</v>
      </c>
      <c r="D344" s="1" t="s">
        <v>83</v>
      </c>
      <c r="E344" s="1" t="s">
        <v>82</v>
      </c>
      <c r="F344" s="1" t="s">
        <v>699</v>
      </c>
    </row>
    <row r="345" spans="1:6" ht="24.95" customHeight="1">
      <c r="A345" s="1" t="s">
        <v>6</v>
      </c>
      <c r="B345" s="1">
        <f t="shared" si="5"/>
        <v>524</v>
      </c>
      <c r="C345" s="1" t="s">
        <v>81</v>
      </c>
      <c r="D345" s="1" t="s">
        <v>92</v>
      </c>
      <c r="E345" s="1" t="s">
        <v>91</v>
      </c>
      <c r="F345" s="1" t="s">
        <v>699</v>
      </c>
    </row>
    <row r="346" spans="1:6" ht="24.95" customHeight="1">
      <c r="A346" s="1" t="s">
        <v>6</v>
      </c>
      <c r="B346" s="1">
        <f t="shared" si="5"/>
        <v>528</v>
      </c>
      <c r="C346" s="6" t="s">
        <v>444</v>
      </c>
      <c r="D346" s="1" t="s">
        <v>101</v>
      </c>
      <c r="E346" s="1" t="s">
        <v>100</v>
      </c>
      <c r="F346" s="1" t="s">
        <v>699</v>
      </c>
    </row>
    <row r="347" spans="1:6" ht="24.95" customHeight="1">
      <c r="A347" s="1" t="s">
        <v>6</v>
      </c>
      <c r="B347" s="1">
        <f t="shared" si="5"/>
        <v>532</v>
      </c>
      <c r="C347" s="1" t="s">
        <v>105</v>
      </c>
      <c r="D347" s="1" t="s">
        <v>107</v>
      </c>
      <c r="E347" s="1" t="s">
        <v>106</v>
      </c>
      <c r="F347" s="1" t="s">
        <v>701</v>
      </c>
    </row>
    <row r="348" spans="1:6" ht="24.95" customHeight="1">
      <c r="A348" s="1" t="s">
        <v>6</v>
      </c>
      <c r="B348" s="1">
        <f t="shared" si="5"/>
        <v>536</v>
      </c>
      <c r="C348" s="1" t="s">
        <v>112</v>
      </c>
      <c r="D348" s="1" t="s">
        <v>113</v>
      </c>
      <c r="E348" s="1" t="s">
        <v>106</v>
      </c>
      <c r="F348" s="1" t="s">
        <v>701</v>
      </c>
    </row>
    <row r="349" spans="1:6" ht="24.95" customHeight="1">
      <c r="A349" s="1" t="s">
        <v>6</v>
      </c>
      <c r="B349" s="1">
        <f t="shared" si="5"/>
        <v>540</v>
      </c>
      <c r="C349" s="1" t="s">
        <v>52</v>
      </c>
      <c r="D349" s="1" t="s">
        <v>119</v>
      </c>
      <c r="E349" s="1" t="s">
        <v>118</v>
      </c>
      <c r="F349" s="1" t="s">
        <v>701</v>
      </c>
    </row>
    <row r="350" spans="1:6" ht="24.95" customHeight="1">
      <c r="A350" s="1" t="s">
        <v>6</v>
      </c>
      <c r="B350" s="1">
        <f t="shared" si="5"/>
        <v>544</v>
      </c>
      <c r="C350" s="1" t="s">
        <v>61</v>
      </c>
      <c r="D350" s="1" t="s">
        <v>123</v>
      </c>
      <c r="E350" s="1" t="s">
        <v>118</v>
      </c>
      <c r="F350" s="1" t="s">
        <v>701</v>
      </c>
    </row>
    <row r="351" spans="1:6" ht="24.95" customHeight="1">
      <c r="A351" s="1" t="s">
        <v>6</v>
      </c>
      <c r="B351" s="1">
        <f t="shared" si="5"/>
        <v>548</v>
      </c>
      <c r="C351" s="5" t="s">
        <v>503</v>
      </c>
      <c r="D351" s="1" t="s">
        <v>128</v>
      </c>
      <c r="E351" s="1" t="s">
        <v>127</v>
      </c>
      <c r="F351" s="1" t="s">
        <v>699</v>
      </c>
    </row>
    <row r="352" spans="1:6" ht="24.95" customHeight="1">
      <c r="A352" s="1" t="s">
        <v>6</v>
      </c>
      <c r="B352" s="1">
        <f t="shared" si="5"/>
        <v>552</v>
      </c>
      <c r="C352" s="5" t="s">
        <v>504</v>
      </c>
      <c r="D352" s="1" t="s">
        <v>132</v>
      </c>
      <c r="E352" s="1" t="s">
        <v>127</v>
      </c>
      <c r="F352" s="1" t="s">
        <v>699</v>
      </c>
    </row>
    <row r="353" spans="1:6" ht="24.95" customHeight="1">
      <c r="A353" s="1" t="s">
        <v>6</v>
      </c>
      <c r="B353" s="1">
        <f t="shared" si="5"/>
        <v>564</v>
      </c>
      <c r="C353" s="1" t="s">
        <v>141</v>
      </c>
      <c r="D353" s="1" t="s">
        <v>142</v>
      </c>
      <c r="E353" s="1" t="s">
        <v>127</v>
      </c>
      <c r="F353" s="1" t="s">
        <v>699</v>
      </c>
    </row>
    <row r="354" spans="1:6" ht="24.95" customHeight="1">
      <c r="A354" s="1" t="s">
        <v>6</v>
      </c>
      <c r="B354" s="1">
        <f t="shared" si="5"/>
        <v>568</v>
      </c>
      <c r="C354" s="1" t="s">
        <v>145</v>
      </c>
      <c r="D354" s="1" t="s">
        <v>146</v>
      </c>
      <c r="E354" s="1" t="s">
        <v>127</v>
      </c>
      <c r="F354" s="1" t="s">
        <v>699</v>
      </c>
    </row>
    <row r="355" spans="1:6" ht="24.95" customHeight="1">
      <c r="A355" s="1" t="s">
        <v>6</v>
      </c>
      <c r="B355" s="1">
        <f t="shared" si="5"/>
        <v>572</v>
      </c>
      <c r="C355" s="1" t="s">
        <v>445</v>
      </c>
      <c r="D355" s="1" t="s">
        <v>149</v>
      </c>
      <c r="E355" s="1"/>
      <c r="F355" s="1"/>
    </row>
    <row r="356" spans="1:6" ht="24.95" customHeight="1">
      <c r="A356" s="1" t="s">
        <v>6</v>
      </c>
      <c r="B356" s="1">
        <f t="shared" si="5"/>
        <v>576</v>
      </c>
      <c r="C356" s="1" t="s">
        <v>446</v>
      </c>
      <c r="D356" s="1" t="s">
        <v>152</v>
      </c>
      <c r="E356" s="1"/>
      <c r="F356" s="1"/>
    </row>
    <row r="357" spans="1:6" ht="24.95" customHeight="1">
      <c r="A357" s="1" t="s">
        <v>6</v>
      </c>
      <c r="B357" s="1">
        <f t="shared" si="5"/>
        <v>580</v>
      </c>
      <c r="C357" s="1" t="s">
        <v>447</v>
      </c>
      <c r="D357" s="1" t="s">
        <v>155</v>
      </c>
      <c r="E357" s="1"/>
      <c r="F357" s="1"/>
    </row>
    <row r="358" spans="1:6" ht="24.95" customHeight="1">
      <c r="A358" s="1" t="s">
        <v>6</v>
      </c>
      <c r="B358" s="1">
        <f t="shared" si="5"/>
        <v>584</v>
      </c>
      <c r="C358" s="1" t="s">
        <v>158</v>
      </c>
      <c r="D358" s="1" t="s">
        <v>159</v>
      </c>
      <c r="E358" s="1"/>
      <c r="F358" s="1"/>
    </row>
    <row r="359" spans="1:6" ht="24.95" customHeight="1">
      <c r="A359" s="1" t="s">
        <v>6</v>
      </c>
      <c r="B359" s="1">
        <f t="shared" si="5"/>
        <v>588</v>
      </c>
      <c r="C359" s="1" t="s">
        <v>162</v>
      </c>
      <c r="D359" s="1" t="s">
        <v>163</v>
      </c>
      <c r="E359" s="1"/>
      <c r="F359" s="1"/>
    </row>
    <row r="360" spans="1:6" ht="24.95" customHeight="1">
      <c r="A360" s="1" t="s">
        <v>6</v>
      </c>
      <c r="B360" s="1">
        <f t="shared" si="5"/>
        <v>592</v>
      </c>
      <c r="C360" s="5" t="s">
        <v>414</v>
      </c>
      <c r="D360" s="1" t="s">
        <v>166</v>
      </c>
      <c r="E360" s="1"/>
      <c r="F360" s="1"/>
    </row>
    <row r="361" spans="1:6" ht="24.95" customHeight="1">
      <c r="A361" s="1" t="s">
        <v>6</v>
      </c>
      <c r="B361" s="1">
        <f t="shared" si="5"/>
        <v>596</v>
      </c>
      <c r="C361" s="10"/>
      <c r="D361" s="1" t="s">
        <v>662</v>
      </c>
      <c r="E361" s="1"/>
      <c r="F361" s="1"/>
    </row>
    <row r="362" spans="1:6" ht="24.95" customHeight="1">
      <c r="A362" s="1" t="s">
        <v>6</v>
      </c>
      <c r="B362" s="1">
        <f t="shared" si="5"/>
        <v>600</v>
      </c>
      <c r="C362" s="1" t="s">
        <v>171</v>
      </c>
      <c r="D362" s="1" t="s">
        <v>172</v>
      </c>
      <c r="E362" s="1" t="s">
        <v>38</v>
      </c>
      <c r="F362" s="1" t="s">
        <v>701</v>
      </c>
    </row>
    <row r="363" spans="1:6" ht="24.95" customHeight="1">
      <c r="A363" s="1" t="s">
        <v>6</v>
      </c>
      <c r="B363" s="1">
        <f t="shared" si="5"/>
        <v>604</v>
      </c>
      <c r="C363" s="1" t="s">
        <v>176</v>
      </c>
      <c r="D363" s="1" t="s">
        <v>177</v>
      </c>
      <c r="E363" s="1" t="s">
        <v>127</v>
      </c>
      <c r="F363" s="1" t="s">
        <v>699</v>
      </c>
    </row>
    <row r="364" spans="1:6" ht="24.95" customHeight="1">
      <c r="A364" s="1" t="s">
        <v>6</v>
      </c>
      <c r="B364" s="1">
        <f t="shared" si="5"/>
        <v>608</v>
      </c>
      <c r="C364" s="5" t="s">
        <v>502</v>
      </c>
      <c r="D364" s="1" t="s">
        <v>181</v>
      </c>
      <c r="E364" s="1"/>
      <c r="F364" s="1" t="s">
        <v>701</v>
      </c>
    </row>
    <row r="365" spans="1:6" ht="24.95" customHeight="1">
      <c r="A365" s="1" t="s">
        <v>6</v>
      </c>
      <c r="B365" s="1">
        <f t="shared" si="5"/>
        <v>612</v>
      </c>
      <c r="C365" s="1" t="s">
        <v>185</v>
      </c>
      <c r="D365" s="1" t="s">
        <v>186</v>
      </c>
      <c r="E365" s="1"/>
      <c r="F365" s="1"/>
    </row>
    <row r="366" spans="1:6" ht="24.95" customHeight="1">
      <c r="A366" s="1" t="s">
        <v>6</v>
      </c>
      <c r="B366" s="1">
        <f t="shared" si="5"/>
        <v>616</v>
      </c>
      <c r="C366" s="10" t="s">
        <v>190</v>
      </c>
      <c r="D366" s="1" t="s">
        <v>191</v>
      </c>
      <c r="E366" s="1"/>
      <c r="F366" s="1"/>
    </row>
    <row r="367" spans="1:6" ht="24.95" customHeight="1">
      <c r="A367" s="1" t="s">
        <v>4</v>
      </c>
      <c r="B367" s="1">
        <f t="shared" si="5"/>
        <v>620</v>
      </c>
      <c r="C367" s="1" t="s">
        <v>325</v>
      </c>
      <c r="D367" s="1" t="s">
        <v>658</v>
      </c>
      <c r="E367" s="1"/>
      <c r="F367" s="16" t="s">
        <v>703</v>
      </c>
    </row>
    <row r="368" spans="1:6" ht="24.95" customHeight="1">
      <c r="A368" s="1" t="s">
        <v>6</v>
      </c>
      <c r="B368" s="1">
        <f t="shared" si="5"/>
        <v>620</v>
      </c>
      <c r="C368" s="1" t="s">
        <v>194</v>
      </c>
      <c r="D368" s="1" t="s">
        <v>195</v>
      </c>
      <c r="E368" s="1" t="s">
        <v>4</v>
      </c>
      <c r="F368" s="1"/>
    </row>
    <row r="369" spans="1:6" ht="24.95" customHeight="1">
      <c r="A369" s="1" t="s">
        <v>4</v>
      </c>
      <c r="B369" s="1">
        <f t="shared" si="5"/>
        <v>620.1</v>
      </c>
      <c r="C369" s="1" t="s">
        <v>329</v>
      </c>
      <c r="D369" s="1" t="s">
        <v>330</v>
      </c>
      <c r="E369" s="1"/>
      <c r="F369" s="16" t="s">
        <v>703</v>
      </c>
    </row>
    <row r="370" spans="1:6" ht="24.95" customHeight="1">
      <c r="A370" s="1" t="s">
        <v>4</v>
      </c>
      <c r="B370" s="1">
        <f t="shared" si="5"/>
        <v>620.20000000000005</v>
      </c>
      <c r="C370" s="1" t="s">
        <v>333</v>
      </c>
      <c r="D370" s="1" t="s">
        <v>334</v>
      </c>
      <c r="E370" s="1"/>
      <c r="F370" s="16" t="s">
        <v>703</v>
      </c>
    </row>
    <row r="371" spans="1:6" ht="24.95" customHeight="1">
      <c r="A371" s="1" t="s">
        <v>4</v>
      </c>
      <c r="B371" s="1">
        <f t="shared" si="5"/>
        <v>620.29999999999995</v>
      </c>
      <c r="C371" s="1" t="s">
        <v>337</v>
      </c>
      <c r="D371" s="1" t="s">
        <v>338</v>
      </c>
      <c r="E371" s="1"/>
      <c r="F371" s="16" t="s">
        <v>703</v>
      </c>
    </row>
    <row r="372" spans="1:6" ht="24.95" customHeight="1">
      <c r="A372" s="1" t="s">
        <v>4</v>
      </c>
      <c r="B372" s="1">
        <f t="shared" si="5"/>
        <v>620.4</v>
      </c>
      <c r="C372" s="1" t="s">
        <v>341</v>
      </c>
      <c r="D372" s="1" t="s">
        <v>342</v>
      </c>
      <c r="E372" s="1"/>
      <c r="F372" s="16" t="s">
        <v>703</v>
      </c>
    </row>
    <row r="373" spans="1:6" ht="24.95" customHeight="1">
      <c r="A373" s="1" t="s">
        <v>4</v>
      </c>
      <c r="B373" s="1">
        <f t="shared" si="5"/>
        <v>620.5</v>
      </c>
      <c r="C373" s="1" t="s">
        <v>85</v>
      </c>
      <c r="D373" s="1" t="s">
        <v>345</v>
      </c>
      <c r="E373" s="1"/>
      <c r="F373" s="16" t="s">
        <v>703</v>
      </c>
    </row>
    <row r="374" spans="1:6" ht="24.95" customHeight="1">
      <c r="A374" s="1" t="s">
        <v>4</v>
      </c>
      <c r="B374" s="1">
        <f t="shared" si="5"/>
        <v>620.6</v>
      </c>
      <c r="C374" s="1" t="s">
        <v>94</v>
      </c>
      <c r="D374" s="1" t="s">
        <v>348</v>
      </c>
      <c r="E374" s="1"/>
      <c r="F374" s="16" t="s">
        <v>703</v>
      </c>
    </row>
    <row r="375" spans="1:6" ht="24.95" customHeight="1">
      <c r="A375" s="1" t="s">
        <v>4</v>
      </c>
      <c r="B375" s="1">
        <f t="shared" si="5"/>
        <v>620.70000000000005</v>
      </c>
      <c r="C375" s="1" t="s">
        <v>103</v>
      </c>
      <c r="D375" s="1" t="s">
        <v>351</v>
      </c>
      <c r="E375" s="1"/>
      <c r="F375" s="16" t="s">
        <v>703</v>
      </c>
    </row>
    <row r="376" spans="1:6" ht="24.95" customHeight="1">
      <c r="A376" s="1" t="s">
        <v>4</v>
      </c>
      <c r="B376" s="1">
        <f t="shared" si="5"/>
        <v>621</v>
      </c>
      <c r="C376" s="1" t="s">
        <v>353</v>
      </c>
      <c r="D376" s="1" t="s">
        <v>659</v>
      </c>
      <c r="E376" s="1"/>
      <c r="F376" s="16" t="s">
        <v>703</v>
      </c>
    </row>
    <row r="377" spans="1:6" ht="24.95" customHeight="1">
      <c r="A377" s="1" t="s">
        <v>4</v>
      </c>
      <c r="B377" s="1">
        <f t="shared" si="5"/>
        <v>621.1</v>
      </c>
      <c r="C377" s="1" t="s">
        <v>357</v>
      </c>
      <c r="D377" s="1" t="s">
        <v>358</v>
      </c>
      <c r="E377" s="1"/>
      <c r="F377" s="16" t="s">
        <v>703</v>
      </c>
    </row>
    <row r="378" spans="1:6" ht="24.95" customHeight="1">
      <c r="A378" s="1" t="s">
        <v>6</v>
      </c>
      <c r="B378" s="1">
        <f t="shared" si="5"/>
        <v>624</v>
      </c>
      <c r="C378" s="1" t="s">
        <v>194</v>
      </c>
      <c r="D378" s="1" t="s">
        <v>198</v>
      </c>
      <c r="E378" s="1" t="s">
        <v>4</v>
      </c>
      <c r="F378" s="1"/>
    </row>
    <row r="379" spans="1:6" ht="24.95" customHeight="1">
      <c r="A379" s="1" t="s">
        <v>6</v>
      </c>
      <c r="B379" s="1">
        <f t="shared" si="5"/>
        <v>628</v>
      </c>
      <c r="C379" s="1" t="s">
        <v>194</v>
      </c>
      <c r="D379" s="1" t="s">
        <v>201</v>
      </c>
      <c r="E379" s="1" t="s">
        <v>4</v>
      </c>
      <c r="F379" s="1"/>
    </row>
    <row r="380" spans="1:6" ht="24.95" customHeight="1">
      <c r="A380" s="1" t="s">
        <v>6</v>
      </c>
      <c r="B380" s="1">
        <f t="shared" si="5"/>
        <v>632</v>
      </c>
      <c r="C380" s="1" t="s">
        <v>194</v>
      </c>
      <c r="D380" s="1" t="s">
        <v>205</v>
      </c>
      <c r="E380" s="1" t="s">
        <v>4</v>
      </c>
      <c r="F380" s="1"/>
    </row>
    <row r="381" spans="1:6" ht="24.95" customHeight="1">
      <c r="A381" s="1" t="s">
        <v>6</v>
      </c>
      <c r="B381" s="1">
        <f t="shared" si="5"/>
        <v>636</v>
      </c>
      <c r="C381" s="1" t="s">
        <v>194</v>
      </c>
      <c r="D381" s="1" t="s">
        <v>209</v>
      </c>
      <c r="E381" s="1" t="s">
        <v>4</v>
      </c>
      <c r="F381" s="1"/>
    </row>
    <row r="382" spans="1:6" ht="24.95" customHeight="1">
      <c r="A382" s="1" t="s">
        <v>6</v>
      </c>
      <c r="B382" s="1">
        <f t="shared" si="5"/>
        <v>640</v>
      </c>
      <c r="C382" s="1" t="s">
        <v>61</v>
      </c>
      <c r="D382" s="1" t="s">
        <v>213</v>
      </c>
      <c r="E382" s="1" t="s">
        <v>38</v>
      </c>
      <c r="F382" s="1" t="s">
        <v>701</v>
      </c>
    </row>
    <row r="383" spans="1:6" ht="24.95" customHeight="1">
      <c r="A383" s="1" t="s">
        <v>6</v>
      </c>
      <c r="B383" s="1">
        <f t="shared" si="5"/>
        <v>644</v>
      </c>
      <c r="C383" s="1" t="s">
        <v>52</v>
      </c>
      <c r="D383" s="1" t="s">
        <v>217</v>
      </c>
      <c r="E383" s="1" t="s">
        <v>38</v>
      </c>
      <c r="F383" s="1" t="s">
        <v>701</v>
      </c>
    </row>
    <row r="384" spans="1:6" ht="24.95" customHeight="1">
      <c r="A384" s="1" t="s">
        <v>6</v>
      </c>
      <c r="B384" s="1">
        <f t="shared" si="5"/>
        <v>648</v>
      </c>
      <c r="C384" s="1" t="s">
        <v>37</v>
      </c>
      <c r="D384" s="1" t="s">
        <v>221</v>
      </c>
      <c r="E384" s="1" t="s">
        <v>38</v>
      </c>
      <c r="F384" s="1" t="s">
        <v>701</v>
      </c>
    </row>
    <row r="385" spans="1:6" ht="24.95" customHeight="1">
      <c r="A385" s="1" t="s">
        <v>6</v>
      </c>
      <c r="B385" s="1">
        <f t="shared" si="5"/>
        <v>652</v>
      </c>
      <c r="C385" s="1" t="s">
        <v>171</v>
      </c>
      <c r="D385" s="1" t="s">
        <v>225</v>
      </c>
      <c r="E385" s="1" t="s">
        <v>38</v>
      </c>
      <c r="F385" s="1" t="s">
        <v>701</v>
      </c>
    </row>
    <row r="386" spans="1:6" ht="24.95" customHeight="1">
      <c r="A386" s="1" t="s">
        <v>6</v>
      </c>
      <c r="B386" s="1">
        <f t="shared" ref="B386:B445" si="6">VALUE(RIGHT(D386,LEN(D386)-LEN(A386)))</f>
        <v>660</v>
      </c>
      <c r="C386" s="1"/>
      <c r="D386" s="1" t="s">
        <v>232</v>
      </c>
      <c r="E386" s="1"/>
      <c r="F386" s="1"/>
    </row>
    <row r="387" spans="1:6" ht="24.95" customHeight="1">
      <c r="A387" s="1" t="s">
        <v>6</v>
      </c>
      <c r="B387" s="1">
        <f t="shared" si="6"/>
        <v>664</v>
      </c>
      <c r="C387" s="1"/>
      <c r="D387" s="1" t="s">
        <v>236</v>
      </c>
      <c r="E387" s="1"/>
      <c r="F387" s="1"/>
    </row>
    <row r="388" spans="1:6" ht="24.95" customHeight="1">
      <c r="A388" s="1" t="s">
        <v>6</v>
      </c>
      <c r="B388" s="1">
        <f t="shared" si="6"/>
        <v>668</v>
      </c>
      <c r="C388" s="1"/>
      <c r="D388" s="1" t="s">
        <v>239</v>
      </c>
      <c r="E388" s="1"/>
      <c r="F388" s="1"/>
    </row>
    <row r="389" spans="1:6" ht="24.95" customHeight="1">
      <c r="A389" s="1" t="s">
        <v>6</v>
      </c>
      <c r="B389" s="1">
        <f t="shared" si="6"/>
        <v>672</v>
      </c>
      <c r="C389" s="1"/>
      <c r="D389" s="1" t="s">
        <v>242</v>
      </c>
      <c r="E389" s="1"/>
      <c r="F389" s="1"/>
    </row>
    <row r="390" spans="1:6" ht="24.95" customHeight="1">
      <c r="A390" s="1" t="s">
        <v>6</v>
      </c>
      <c r="B390" s="1">
        <f t="shared" si="6"/>
        <v>676</v>
      </c>
      <c r="C390" s="1"/>
      <c r="D390" s="1" t="s">
        <v>245</v>
      </c>
      <c r="E390" s="1"/>
      <c r="F390" s="1"/>
    </row>
    <row r="391" spans="1:6" ht="24.95" customHeight="1">
      <c r="A391" s="1" t="s">
        <v>6</v>
      </c>
      <c r="B391" s="1">
        <f t="shared" si="6"/>
        <v>680</v>
      </c>
      <c r="C391" s="1"/>
      <c r="D391" s="1" t="s">
        <v>248</v>
      </c>
      <c r="E391" s="1"/>
      <c r="F391" s="1"/>
    </row>
    <row r="392" spans="1:6" ht="24.95" customHeight="1">
      <c r="A392" s="1" t="s">
        <v>6</v>
      </c>
      <c r="B392" s="1">
        <f t="shared" si="6"/>
        <v>684</v>
      </c>
      <c r="C392" s="1"/>
      <c r="D392" s="1" t="s">
        <v>251</v>
      </c>
      <c r="E392" s="1"/>
      <c r="F392" s="1"/>
    </row>
    <row r="393" spans="1:6" ht="24.95" customHeight="1">
      <c r="A393" s="1" t="s">
        <v>6</v>
      </c>
      <c r="B393" s="1">
        <f t="shared" si="6"/>
        <v>688</v>
      </c>
      <c r="C393" s="1"/>
      <c r="D393" s="1" t="s">
        <v>254</v>
      </c>
      <c r="E393" s="1"/>
      <c r="F393" s="1"/>
    </row>
    <row r="394" spans="1:6" ht="24.95" customHeight="1">
      <c r="A394" s="1" t="s">
        <v>6</v>
      </c>
      <c r="B394" s="1">
        <f t="shared" si="6"/>
        <v>692</v>
      </c>
      <c r="C394" s="1"/>
      <c r="D394" s="1" t="s">
        <v>256</v>
      </c>
      <c r="E394" s="1"/>
      <c r="F394" s="1"/>
    </row>
    <row r="395" spans="1:6" ht="24.95" customHeight="1">
      <c r="A395" s="1" t="s">
        <v>6</v>
      </c>
      <c r="B395" s="1">
        <f t="shared" si="6"/>
        <v>696</v>
      </c>
      <c r="C395" s="1"/>
      <c r="D395" s="1" t="s">
        <v>259</v>
      </c>
      <c r="E395" s="1"/>
      <c r="F395" s="1"/>
    </row>
    <row r="396" spans="1:6" ht="24.95" customHeight="1">
      <c r="A396" s="1" t="s">
        <v>6</v>
      </c>
      <c r="B396" s="1">
        <f t="shared" si="6"/>
        <v>700</v>
      </c>
      <c r="C396" s="11" t="s">
        <v>691</v>
      </c>
      <c r="D396" s="1" t="s">
        <v>262</v>
      </c>
      <c r="E396" s="11" t="s">
        <v>692</v>
      </c>
      <c r="F396" s="16" t="s">
        <v>704</v>
      </c>
    </row>
    <row r="397" spans="1:6" ht="24.95" customHeight="1">
      <c r="A397" s="1" t="s">
        <v>6</v>
      </c>
      <c r="B397" s="1">
        <f t="shared" si="6"/>
        <v>704</v>
      </c>
      <c r="C397" s="11" t="s">
        <v>690</v>
      </c>
      <c r="D397" s="1" t="s">
        <v>265</v>
      </c>
      <c r="E397" s="11" t="s">
        <v>688</v>
      </c>
      <c r="F397" s="16" t="s">
        <v>704</v>
      </c>
    </row>
    <row r="398" spans="1:6" ht="24.95" customHeight="1">
      <c r="A398" s="1" t="s">
        <v>6</v>
      </c>
      <c r="B398" s="1">
        <f t="shared" si="6"/>
        <v>708</v>
      </c>
      <c r="C398" s="11" t="s">
        <v>689</v>
      </c>
      <c r="D398" s="1" t="s">
        <v>268</v>
      </c>
      <c r="E398" s="1"/>
      <c r="F398" s="16" t="s">
        <v>704</v>
      </c>
    </row>
    <row r="399" spans="1:6" ht="24.95" customHeight="1">
      <c r="A399" s="1" t="s">
        <v>6</v>
      </c>
      <c r="B399" s="1">
        <f t="shared" si="6"/>
        <v>712</v>
      </c>
      <c r="C399" s="6" t="s">
        <v>448</v>
      </c>
      <c r="D399" s="1" t="s">
        <v>271</v>
      </c>
      <c r="E399" s="1" t="s">
        <v>52</v>
      </c>
      <c r="F399" s="16" t="s">
        <v>704</v>
      </c>
    </row>
    <row r="400" spans="1:6" ht="24.95" customHeight="1">
      <c r="A400" s="1" t="s">
        <v>6</v>
      </c>
      <c r="B400" s="1">
        <f t="shared" si="6"/>
        <v>716</v>
      </c>
      <c r="C400" s="6" t="s">
        <v>449</v>
      </c>
      <c r="D400" s="1" t="s">
        <v>274</v>
      </c>
      <c r="E400" s="1" t="s">
        <v>52</v>
      </c>
      <c r="F400" s="16" t="s">
        <v>704</v>
      </c>
    </row>
    <row r="401" spans="1:6" ht="24.95" customHeight="1">
      <c r="A401" s="1" t="s">
        <v>6</v>
      </c>
      <c r="B401" s="1">
        <f t="shared" si="6"/>
        <v>720</v>
      </c>
      <c r="C401" s="6" t="s">
        <v>450</v>
      </c>
      <c r="D401" s="1" t="s">
        <v>277</v>
      </c>
      <c r="E401" s="1" t="s">
        <v>52</v>
      </c>
      <c r="F401" s="16" t="s">
        <v>704</v>
      </c>
    </row>
    <row r="402" spans="1:6" ht="24.95" customHeight="1">
      <c r="A402" s="1" t="s">
        <v>6</v>
      </c>
      <c r="B402" s="1">
        <f t="shared" si="6"/>
        <v>724</v>
      </c>
      <c r="C402" s="6" t="s">
        <v>451</v>
      </c>
      <c r="D402" s="1" t="s">
        <v>279</v>
      </c>
      <c r="E402" s="1" t="s">
        <v>52</v>
      </c>
      <c r="F402" s="16" t="s">
        <v>704</v>
      </c>
    </row>
    <row r="403" spans="1:6" ht="24.95" customHeight="1">
      <c r="A403" s="1" t="s">
        <v>6</v>
      </c>
      <c r="B403" s="1">
        <f t="shared" si="6"/>
        <v>728</v>
      </c>
      <c r="C403" s="6" t="s">
        <v>452</v>
      </c>
      <c r="D403" s="1" t="s">
        <v>282</v>
      </c>
      <c r="E403" s="1" t="s">
        <v>52</v>
      </c>
      <c r="F403" s="16" t="s">
        <v>704</v>
      </c>
    </row>
    <row r="404" spans="1:6" ht="24.95" customHeight="1">
      <c r="A404" s="1" t="s">
        <v>6</v>
      </c>
      <c r="B404" s="1">
        <f t="shared" si="6"/>
        <v>732</v>
      </c>
      <c r="C404" s="6" t="s">
        <v>453</v>
      </c>
      <c r="D404" s="1" t="s">
        <v>286</v>
      </c>
      <c r="E404" s="1" t="s">
        <v>52</v>
      </c>
      <c r="F404" s="16" t="s">
        <v>704</v>
      </c>
    </row>
    <row r="405" spans="1:6" ht="24.95" customHeight="1">
      <c r="A405" s="1" t="s">
        <v>6</v>
      </c>
      <c r="B405" s="1">
        <f t="shared" si="6"/>
        <v>736</v>
      </c>
      <c r="C405" s="6" t="s">
        <v>454</v>
      </c>
      <c r="D405" s="1" t="s">
        <v>289</v>
      </c>
      <c r="E405" s="1" t="s">
        <v>52</v>
      </c>
      <c r="F405" s="16" t="s">
        <v>704</v>
      </c>
    </row>
    <row r="406" spans="1:6" ht="24.95" customHeight="1">
      <c r="A406" s="1" t="s">
        <v>6</v>
      </c>
      <c r="B406" s="1">
        <f t="shared" si="6"/>
        <v>740</v>
      </c>
      <c r="C406" s="6" t="s">
        <v>455</v>
      </c>
      <c r="D406" s="1" t="s">
        <v>292</v>
      </c>
      <c r="E406" s="1" t="s">
        <v>52</v>
      </c>
      <c r="F406" s="16" t="s">
        <v>704</v>
      </c>
    </row>
    <row r="407" spans="1:6" ht="24.95" customHeight="1">
      <c r="A407" s="1" t="s">
        <v>6</v>
      </c>
      <c r="B407" s="1">
        <f t="shared" si="6"/>
        <v>744</v>
      </c>
      <c r="C407" s="6" t="s">
        <v>456</v>
      </c>
      <c r="D407" s="1" t="s">
        <v>295</v>
      </c>
      <c r="E407" s="1" t="s">
        <v>52</v>
      </c>
      <c r="F407" s="16" t="s">
        <v>704</v>
      </c>
    </row>
    <row r="408" spans="1:6" ht="24.95" customHeight="1">
      <c r="A408" s="1" t="s">
        <v>6</v>
      </c>
      <c r="B408" s="1">
        <f t="shared" si="6"/>
        <v>748</v>
      </c>
      <c r="C408" s="6" t="s">
        <v>457</v>
      </c>
      <c r="D408" s="1" t="s">
        <v>298</v>
      </c>
      <c r="E408" s="1" t="s">
        <v>52</v>
      </c>
      <c r="F408" s="16" t="s">
        <v>704</v>
      </c>
    </row>
    <row r="409" spans="1:6" ht="24.95" customHeight="1">
      <c r="A409" s="1" t="s">
        <v>6</v>
      </c>
      <c r="B409" s="1">
        <f t="shared" si="6"/>
        <v>752</v>
      </c>
      <c r="C409" s="6" t="s">
        <v>458</v>
      </c>
      <c r="D409" s="1" t="s">
        <v>301</v>
      </c>
      <c r="E409" s="1" t="s">
        <v>52</v>
      </c>
      <c r="F409" s="16" t="s">
        <v>704</v>
      </c>
    </row>
    <row r="410" spans="1:6" ht="24.95" customHeight="1">
      <c r="A410" s="1" t="s">
        <v>6</v>
      </c>
      <c r="B410" s="1">
        <f t="shared" si="6"/>
        <v>756</v>
      </c>
      <c r="C410" s="6" t="s">
        <v>459</v>
      </c>
      <c r="D410" s="1" t="s">
        <v>303</v>
      </c>
      <c r="E410" s="1" t="s">
        <v>52</v>
      </c>
      <c r="F410" s="16" t="s">
        <v>704</v>
      </c>
    </row>
    <row r="411" spans="1:6" ht="24.95" customHeight="1">
      <c r="A411" s="1" t="s">
        <v>6</v>
      </c>
      <c r="B411" s="1">
        <f t="shared" si="6"/>
        <v>760</v>
      </c>
      <c r="C411" s="6" t="s">
        <v>460</v>
      </c>
      <c r="D411" s="1" t="s">
        <v>307</v>
      </c>
      <c r="E411" s="1" t="s">
        <v>52</v>
      </c>
      <c r="F411" s="16" t="s">
        <v>704</v>
      </c>
    </row>
    <row r="412" spans="1:6" ht="24.95" customHeight="1">
      <c r="A412" s="1" t="s">
        <v>6</v>
      </c>
      <c r="B412" s="1">
        <f t="shared" si="6"/>
        <v>764</v>
      </c>
      <c r="C412" s="6" t="s">
        <v>461</v>
      </c>
      <c r="D412" s="1" t="s">
        <v>311</v>
      </c>
      <c r="E412" s="1" t="s">
        <v>52</v>
      </c>
      <c r="F412" s="16" t="s">
        <v>704</v>
      </c>
    </row>
    <row r="413" spans="1:6" ht="24.95" customHeight="1">
      <c r="A413" s="1" t="s">
        <v>6</v>
      </c>
      <c r="B413" s="1">
        <f t="shared" si="6"/>
        <v>768</v>
      </c>
      <c r="C413" s="6" t="s">
        <v>462</v>
      </c>
      <c r="D413" s="1" t="s">
        <v>314</v>
      </c>
      <c r="E413" s="1" t="s">
        <v>52</v>
      </c>
      <c r="F413" s="16" t="s">
        <v>704</v>
      </c>
    </row>
    <row r="414" spans="1:6" ht="24.95" customHeight="1">
      <c r="A414" s="1" t="s">
        <v>6</v>
      </c>
      <c r="B414" s="1">
        <f t="shared" si="6"/>
        <v>772</v>
      </c>
      <c r="C414" s="6" t="s">
        <v>463</v>
      </c>
      <c r="D414" s="1" t="s">
        <v>317</v>
      </c>
      <c r="E414" s="6" t="s">
        <v>465</v>
      </c>
      <c r="F414" s="16" t="s">
        <v>704</v>
      </c>
    </row>
    <row r="415" spans="1:6" ht="24.95" customHeight="1">
      <c r="A415" s="1" t="s">
        <v>6</v>
      </c>
      <c r="B415" s="1">
        <f t="shared" si="6"/>
        <v>776</v>
      </c>
      <c r="C415" s="6" t="s">
        <v>464</v>
      </c>
      <c r="D415" s="1" t="s">
        <v>320</v>
      </c>
      <c r="E415" s="1" t="s">
        <v>52</v>
      </c>
      <c r="F415" s="16" t="s">
        <v>704</v>
      </c>
    </row>
    <row r="416" spans="1:6" ht="24.95" customHeight="1">
      <c r="A416" s="1" t="s">
        <v>6</v>
      </c>
      <c r="B416" s="1">
        <f t="shared" si="6"/>
        <v>780</v>
      </c>
      <c r="C416" s="6" t="s">
        <v>467</v>
      </c>
      <c r="D416" s="1" t="s">
        <v>322</v>
      </c>
      <c r="E416" s="6" t="s">
        <v>466</v>
      </c>
      <c r="F416" s="16" t="s">
        <v>704</v>
      </c>
    </row>
    <row r="417" spans="1:6" ht="24.95" customHeight="1">
      <c r="A417" s="1" t="s">
        <v>6</v>
      </c>
      <c r="B417" s="1">
        <f t="shared" si="6"/>
        <v>784</v>
      </c>
      <c r="C417" s="6" t="s">
        <v>468</v>
      </c>
      <c r="D417" s="1" t="s">
        <v>324</v>
      </c>
      <c r="E417" s="11" t="s">
        <v>688</v>
      </c>
      <c r="F417" s="16" t="s">
        <v>704</v>
      </c>
    </row>
    <row r="418" spans="1:6" ht="24.95" customHeight="1">
      <c r="A418" s="1" t="s">
        <v>6</v>
      </c>
      <c r="B418" s="1">
        <f t="shared" si="6"/>
        <v>788</v>
      </c>
      <c r="C418" s="6" t="s">
        <v>469</v>
      </c>
      <c r="D418" s="1" t="s">
        <v>327</v>
      </c>
      <c r="E418" s="1" t="s">
        <v>61</v>
      </c>
      <c r="F418" s="16" t="s">
        <v>704</v>
      </c>
    </row>
    <row r="419" spans="1:6" ht="24.95" customHeight="1">
      <c r="A419" s="1" t="s">
        <v>6</v>
      </c>
      <c r="B419" s="1">
        <f t="shared" si="6"/>
        <v>792</v>
      </c>
      <c r="C419" s="6" t="s">
        <v>470</v>
      </c>
      <c r="D419" s="1" t="s">
        <v>331</v>
      </c>
      <c r="E419" s="1" t="s">
        <v>61</v>
      </c>
      <c r="F419" s="16" t="s">
        <v>704</v>
      </c>
    </row>
    <row r="420" spans="1:6" ht="24.95" customHeight="1">
      <c r="A420" s="1" t="s">
        <v>6</v>
      </c>
      <c r="B420" s="1">
        <f t="shared" si="6"/>
        <v>796</v>
      </c>
      <c r="C420" s="6" t="s">
        <v>471</v>
      </c>
      <c r="D420" s="1" t="s">
        <v>335</v>
      </c>
      <c r="E420" s="1" t="s">
        <v>61</v>
      </c>
      <c r="F420" s="16" t="s">
        <v>704</v>
      </c>
    </row>
    <row r="421" spans="1:6" ht="24.95" customHeight="1">
      <c r="A421" s="1" t="s">
        <v>6</v>
      </c>
      <c r="B421" s="1">
        <f t="shared" si="6"/>
        <v>800</v>
      </c>
      <c r="C421" s="6" t="s">
        <v>472</v>
      </c>
      <c r="D421" s="1" t="s">
        <v>339</v>
      </c>
      <c r="E421" s="1" t="s">
        <v>61</v>
      </c>
      <c r="F421" s="16" t="s">
        <v>704</v>
      </c>
    </row>
    <row r="422" spans="1:6" ht="24.95" customHeight="1">
      <c r="A422" s="1" t="s">
        <v>6</v>
      </c>
      <c r="B422" s="1">
        <f t="shared" si="6"/>
        <v>804</v>
      </c>
      <c r="C422" s="6" t="s">
        <v>473</v>
      </c>
      <c r="D422" s="1" t="s">
        <v>343</v>
      </c>
      <c r="E422" s="1" t="s">
        <v>61</v>
      </c>
      <c r="F422" s="16" t="s">
        <v>704</v>
      </c>
    </row>
    <row r="423" spans="1:6" ht="24.95" customHeight="1">
      <c r="A423" s="1" t="s">
        <v>6</v>
      </c>
      <c r="B423" s="1">
        <f t="shared" si="6"/>
        <v>808</v>
      </c>
      <c r="C423" s="6" t="s">
        <v>474</v>
      </c>
      <c r="D423" s="1" t="s">
        <v>346</v>
      </c>
      <c r="E423" s="1" t="s">
        <v>61</v>
      </c>
      <c r="F423" s="16" t="s">
        <v>704</v>
      </c>
    </row>
    <row r="424" spans="1:6" ht="24.95" customHeight="1">
      <c r="A424" s="1" t="s">
        <v>6</v>
      </c>
      <c r="B424" s="1">
        <f t="shared" si="6"/>
        <v>812</v>
      </c>
      <c r="C424" s="6" t="s">
        <v>475</v>
      </c>
      <c r="D424" s="1" t="s">
        <v>349</v>
      </c>
      <c r="E424" s="1" t="s">
        <v>61</v>
      </c>
      <c r="F424" s="16" t="s">
        <v>704</v>
      </c>
    </row>
    <row r="425" spans="1:6" ht="24.95" customHeight="1">
      <c r="A425" s="1" t="s">
        <v>6</v>
      </c>
      <c r="B425" s="1">
        <f t="shared" si="6"/>
        <v>816</v>
      </c>
      <c r="C425" s="6" t="s">
        <v>476</v>
      </c>
      <c r="D425" s="1" t="s">
        <v>352</v>
      </c>
      <c r="E425" s="1" t="s">
        <v>61</v>
      </c>
      <c r="F425" s="16" t="s">
        <v>704</v>
      </c>
    </row>
    <row r="426" spans="1:6" ht="24.95" customHeight="1">
      <c r="A426" s="1" t="s">
        <v>6</v>
      </c>
      <c r="B426" s="1">
        <f t="shared" si="6"/>
        <v>820</v>
      </c>
      <c r="C426" s="6" t="s">
        <v>477</v>
      </c>
      <c r="D426" s="1" t="s">
        <v>355</v>
      </c>
      <c r="E426" s="1" t="s">
        <v>61</v>
      </c>
      <c r="F426" s="16" t="s">
        <v>704</v>
      </c>
    </row>
    <row r="427" spans="1:6" ht="24.95" customHeight="1">
      <c r="A427" s="1" t="s">
        <v>6</v>
      </c>
      <c r="B427" s="1">
        <f t="shared" si="6"/>
        <v>824</v>
      </c>
      <c r="C427" s="6" t="s">
        <v>478</v>
      </c>
      <c r="D427" s="1" t="s">
        <v>359</v>
      </c>
      <c r="E427" s="1" t="s">
        <v>61</v>
      </c>
      <c r="F427" s="16" t="s">
        <v>704</v>
      </c>
    </row>
    <row r="428" spans="1:6" ht="24.95" customHeight="1">
      <c r="A428" s="1" t="s">
        <v>6</v>
      </c>
      <c r="B428" s="1">
        <f t="shared" si="6"/>
        <v>828</v>
      </c>
      <c r="C428" s="6" t="s">
        <v>479</v>
      </c>
      <c r="D428" s="1" t="s">
        <v>361</v>
      </c>
      <c r="E428" s="1" t="s">
        <v>61</v>
      </c>
      <c r="F428" s="16" t="s">
        <v>704</v>
      </c>
    </row>
    <row r="429" spans="1:6" ht="24.95" customHeight="1">
      <c r="A429" s="1" t="s">
        <v>6</v>
      </c>
      <c r="B429" s="1">
        <f t="shared" si="6"/>
        <v>832</v>
      </c>
      <c r="C429" s="6" t="s">
        <v>480</v>
      </c>
      <c r="D429" s="1" t="s">
        <v>363</v>
      </c>
      <c r="E429" s="1" t="s">
        <v>61</v>
      </c>
      <c r="F429" s="16" t="s">
        <v>704</v>
      </c>
    </row>
    <row r="430" spans="1:6" ht="24.95" customHeight="1">
      <c r="A430" s="1" t="s">
        <v>6</v>
      </c>
      <c r="B430" s="1">
        <f t="shared" si="6"/>
        <v>836</v>
      </c>
      <c r="C430" s="6" t="s">
        <v>481</v>
      </c>
      <c r="D430" s="1" t="s">
        <v>365</v>
      </c>
      <c r="E430" s="1" t="s">
        <v>61</v>
      </c>
      <c r="F430" s="16" t="s">
        <v>704</v>
      </c>
    </row>
    <row r="431" spans="1:6" ht="24.95" customHeight="1">
      <c r="A431" s="1" t="s">
        <v>6</v>
      </c>
      <c r="B431" s="1">
        <f t="shared" si="6"/>
        <v>840</v>
      </c>
      <c r="C431" s="6" t="s">
        <v>482</v>
      </c>
      <c r="D431" s="1" t="s">
        <v>367</v>
      </c>
      <c r="E431" s="1" t="s">
        <v>61</v>
      </c>
      <c r="F431" s="16" t="s">
        <v>704</v>
      </c>
    </row>
    <row r="432" spans="1:6" ht="24.95" customHeight="1">
      <c r="A432" s="1" t="s">
        <v>6</v>
      </c>
      <c r="B432" s="1">
        <f t="shared" si="6"/>
        <v>844</v>
      </c>
      <c r="C432" s="6" t="s">
        <v>483</v>
      </c>
      <c r="D432" s="1" t="s">
        <v>369</v>
      </c>
      <c r="E432" s="1" t="s">
        <v>61</v>
      </c>
      <c r="F432" s="16" t="s">
        <v>704</v>
      </c>
    </row>
    <row r="433" spans="1:6" ht="24.95" customHeight="1">
      <c r="A433" s="1" t="s">
        <v>6</v>
      </c>
      <c r="B433" s="1">
        <f t="shared" si="6"/>
        <v>848</v>
      </c>
      <c r="C433" s="6" t="s">
        <v>484</v>
      </c>
      <c r="D433" s="1" t="s">
        <v>371</v>
      </c>
      <c r="E433" s="1" t="s">
        <v>61</v>
      </c>
      <c r="F433" s="16" t="s">
        <v>704</v>
      </c>
    </row>
    <row r="434" spans="1:6" ht="24.95" customHeight="1">
      <c r="A434" s="1" t="s">
        <v>6</v>
      </c>
      <c r="B434" s="1">
        <f t="shared" si="6"/>
        <v>852</v>
      </c>
      <c r="C434" s="6" t="s">
        <v>485</v>
      </c>
      <c r="D434" s="1" t="s">
        <v>372</v>
      </c>
      <c r="E434" s="1" t="s">
        <v>61</v>
      </c>
      <c r="F434" s="16" t="s">
        <v>704</v>
      </c>
    </row>
    <row r="435" spans="1:6" ht="24.95" customHeight="1">
      <c r="A435" s="1" t="s">
        <v>6</v>
      </c>
      <c r="B435" s="1">
        <f t="shared" si="6"/>
        <v>856</v>
      </c>
      <c r="C435" s="6" t="s">
        <v>486</v>
      </c>
      <c r="D435" s="1" t="s">
        <v>374</v>
      </c>
      <c r="E435" s="1" t="s">
        <v>61</v>
      </c>
      <c r="F435" s="16" t="s">
        <v>704</v>
      </c>
    </row>
    <row r="436" spans="1:6" ht="24.95" customHeight="1">
      <c r="A436" s="1" t="s">
        <v>6</v>
      </c>
      <c r="B436" s="1">
        <f t="shared" si="6"/>
        <v>860</v>
      </c>
      <c r="C436" s="9" t="s">
        <v>429</v>
      </c>
      <c r="D436" s="1" t="s">
        <v>376</v>
      </c>
      <c r="E436" s="1" t="s">
        <v>37</v>
      </c>
      <c r="F436" s="16" t="s">
        <v>704</v>
      </c>
    </row>
    <row r="437" spans="1:6" ht="24.95" customHeight="1">
      <c r="A437" s="1" t="s">
        <v>6</v>
      </c>
      <c r="B437" s="1">
        <f t="shared" si="6"/>
        <v>864</v>
      </c>
      <c r="C437" s="9" t="s">
        <v>430</v>
      </c>
      <c r="D437" s="1" t="s">
        <v>378</v>
      </c>
      <c r="E437" s="1" t="s">
        <v>37</v>
      </c>
      <c r="F437" s="16" t="s">
        <v>704</v>
      </c>
    </row>
    <row r="438" spans="1:6" ht="24.95" customHeight="1">
      <c r="A438" s="1" t="s">
        <v>6</v>
      </c>
      <c r="B438" s="1">
        <f t="shared" si="6"/>
        <v>868</v>
      </c>
      <c r="C438" s="9" t="s">
        <v>431</v>
      </c>
      <c r="D438" s="1" t="s">
        <v>380</v>
      </c>
      <c r="E438" s="1" t="s">
        <v>37</v>
      </c>
      <c r="F438" s="16" t="s">
        <v>704</v>
      </c>
    </row>
    <row r="439" spans="1:6" ht="24.95" customHeight="1">
      <c r="A439" s="1" t="s">
        <v>6</v>
      </c>
      <c r="B439" s="1">
        <f t="shared" si="6"/>
        <v>872</v>
      </c>
      <c r="C439" s="9" t="s">
        <v>432</v>
      </c>
      <c r="D439" s="1" t="s">
        <v>382</v>
      </c>
      <c r="E439" s="1" t="s">
        <v>37</v>
      </c>
      <c r="F439" s="16" t="s">
        <v>704</v>
      </c>
    </row>
    <row r="440" spans="1:6" ht="24.95" customHeight="1">
      <c r="A440" s="1" t="s">
        <v>6</v>
      </c>
      <c r="B440" s="1">
        <f t="shared" si="6"/>
        <v>876</v>
      </c>
      <c r="C440" s="9" t="s">
        <v>433</v>
      </c>
      <c r="D440" s="1" t="s">
        <v>384</v>
      </c>
      <c r="E440" s="1" t="s">
        <v>37</v>
      </c>
      <c r="F440" s="16" t="s">
        <v>704</v>
      </c>
    </row>
    <row r="441" spans="1:6" ht="24.95" customHeight="1">
      <c r="A441" s="1" t="s">
        <v>6</v>
      </c>
      <c r="B441" s="1">
        <f t="shared" si="6"/>
        <v>880</v>
      </c>
      <c r="C441" s="1" t="s">
        <v>228</v>
      </c>
      <c r="D441" s="1" t="s">
        <v>229</v>
      </c>
      <c r="E441" s="1" t="s">
        <v>127</v>
      </c>
      <c r="F441" s="16" t="s">
        <v>704</v>
      </c>
    </row>
    <row r="442" spans="1:6" ht="24.95" customHeight="1">
      <c r="A442" s="1" t="s">
        <v>6</v>
      </c>
      <c r="B442" s="1">
        <f t="shared" si="6"/>
        <v>880</v>
      </c>
      <c r="C442" s="9" t="s">
        <v>434</v>
      </c>
      <c r="D442" s="1" t="s">
        <v>229</v>
      </c>
      <c r="E442" s="1" t="s">
        <v>37</v>
      </c>
      <c r="F442" s="16" t="s">
        <v>704</v>
      </c>
    </row>
    <row r="443" spans="1:6" ht="24.95" customHeight="1">
      <c r="A443" s="1" t="s">
        <v>6</v>
      </c>
      <c r="B443" s="1">
        <f t="shared" si="6"/>
        <v>884</v>
      </c>
      <c r="C443" s="1"/>
      <c r="D443" s="1" t="s">
        <v>386</v>
      </c>
      <c r="E443" s="1"/>
      <c r="F443" s="1"/>
    </row>
    <row r="444" spans="1:6" ht="24.95" customHeight="1">
      <c r="A444" s="1" t="s">
        <v>6</v>
      </c>
      <c r="B444" s="1">
        <f t="shared" si="6"/>
        <v>888</v>
      </c>
      <c r="C444" s="1" t="s">
        <v>409</v>
      </c>
      <c r="D444" s="1" t="s">
        <v>388</v>
      </c>
      <c r="E444" s="1"/>
      <c r="F444" s="1"/>
    </row>
    <row r="445" spans="1:6" ht="24.95" customHeight="1">
      <c r="A445" s="1" t="s">
        <v>5</v>
      </c>
      <c r="B445" s="1">
        <f t="shared" si="6"/>
        <v>898</v>
      </c>
      <c r="C445" s="12" t="s">
        <v>443</v>
      </c>
      <c r="D445" s="13" t="s">
        <v>663</v>
      </c>
      <c r="E445" s="14"/>
      <c r="F445" s="14" t="s">
        <v>701</v>
      </c>
    </row>
  </sheetData>
  <phoneticPr fontId="4" type="noConversion"/>
  <pageMargins left="0.75" right="0.75" top="1" bottom="1" header="0.51180555555555551" footer="0.51180555555555551"/>
  <pageSetup paperSize="9" orientation="portrait" r:id="rId1"/>
  <headerFooter scaleWithDoc="0"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1DE75-66A2-4BB5-9D6E-88BAB39F5A48}">
  <dimension ref="A1:I13"/>
  <sheetViews>
    <sheetView workbookViewId="0">
      <selection activeCell="I4" sqref="I4"/>
    </sheetView>
  </sheetViews>
  <sheetFormatPr defaultRowHeight="14.25"/>
  <cols>
    <col min="1" max="2" width="12.75" customWidth="1"/>
    <col min="7" max="7" width="17.25" customWidth="1"/>
    <col min="9" max="9" width="11.5" customWidth="1"/>
  </cols>
  <sheetData>
    <row r="1" spans="1:9">
      <c r="A1" s="3" t="s">
        <v>526</v>
      </c>
      <c r="B1" s="3"/>
      <c r="C1" s="18" t="s">
        <v>698</v>
      </c>
      <c r="D1" s="18"/>
      <c r="E1" s="21" t="s">
        <v>840</v>
      </c>
      <c r="F1" s="21"/>
      <c r="G1" s="82" t="s">
        <v>1594</v>
      </c>
      <c r="I1" s="82" t="s">
        <v>1604</v>
      </c>
    </row>
    <row r="2" spans="1:9">
      <c r="A2" s="15" t="s">
        <v>533</v>
      </c>
      <c r="B2" s="15"/>
      <c r="C2" s="18" t="s">
        <v>700</v>
      </c>
      <c r="D2" s="18"/>
      <c r="E2" s="21" t="s">
        <v>841</v>
      </c>
      <c r="F2" s="21"/>
      <c r="G2" s="82" t="s">
        <v>1596</v>
      </c>
      <c r="I2" s="82" t="s">
        <v>1605</v>
      </c>
    </row>
    <row r="3" spans="1:9">
      <c r="A3" s="15" t="s">
        <v>541</v>
      </c>
      <c r="B3" s="15"/>
      <c r="C3" s="18" t="s">
        <v>702</v>
      </c>
      <c r="D3" s="18"/>
      <c r="E3" s="21" t="s">
        <v>842</v>
      </c>
      <c r="F3" s="21"/>
      <c r="G3" s="82" t="s">
        <v>1595</v>
      </c>
      <c r="I3" s="82" t="s">
        <v>1606</v>
      </c>
    </row>
    <row r="4" spans="1:9">
      <c r="A4" s="15" t="s">
        <v>540</v>
      </c>
      <c r="B4" s="15"/>
      <c r="E4" s="21" t="s">
        <v>849</v>
      </c>
      <c r="F4" s="21"/>
      <c r="G4" s="82" t="s">
        <v>1598</v>
      </c>
    </row>
    <row r="5" spans="1:9">
      <c r="A5" s="15" t="s">
        <v>539</v>
      </c>
      <c r="B5" s="15"/>
      <c r="E5" s="21" t="s">
        <v>864</v>
      </c>
      <c r="F5" s="21"/>
      <c r="G5" s="82" t="s">
        <v>1601</v>
      </c>
    </row>
    <row r="6" spans="1:9">
      <c r="A6" s="3" t="s">
        <v>537</v>
      </c>
      <c r="B6" s="3"/>
      <c r="E6" s="21" t="s">
        <v>865</v>
      </c>
      <c r="F6" s="21"/>
      <c r="G6" s="82" t="s">
        <v>1600</v>
      </c>
    </row>
    <row r="7" spans="1:9">
      <c r="A7" s="3" t="s">
        <v>538</v>
      </c>
      <c r="B7" s="3"/>
    </row>
    <row r="8" spans="1:9">
      <c r="A8" s="3" t="s">
        <v>527</v>
      </c>
      <c r="B8" s="3"/>
    </row>
    <row r="9" spans="1:9">
      <c r="A9" s="3" t="s">
        <v>528</v>
      </c>
      <c r="B9" s="3"/>
    </row>
    <row r="10" spans="1:9">
      <c r="A10" s="3" t="s">
        <v>530</v>
      </c>
      <c r="B10" s="3"/>
    </row>
    <row r="11" spans="1:9">
      <c r="A11" s="3" t="s">
        <v>532</v>
      </c>
      <c r="B11" s="3"/>
    </row>
    <row r="12" spans="1:9">
      <c r="A12" s="3" t="s">
        <v>534</v>
      </c>
      <c r="B12" s="3"/>
    </row>
    <row r="13" spans="1:9">
      <c r="A13" s="3" t="s">
        <v>535</v>
      </c>
      <c r="B13" s="3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F22BA-2E8C-4F27-A72C-389658BC2B32}">
  <dimension ref="A1:F23"/>
  <sheetViews>
    <sheetView topLeftCell="A13" workbookViewId="0">
      <selection activeCell="C25" sqref="C25"/>
    </sheetView>
  </sheetViews>
  <sheetFormatPr defaultRowHeight="24.95" customHeight="1"/>
  <cols>
    <col min="1" max="1" width="11.25" style="2" bestFit="1" customWidth="1"/>
    <col min="2" max="2" width="19.125" style="2" customWidth="1"/>
    <col min="3" max="3" width="14.25" style="2" bestFit="1" customWidth="1"/>
    <col min="4" max="4" width="16.75" style="2" customWidth="1"/>
    <col min="5" max="5" width="33.5" style="2" bestFit="1" customWidth="1"/>
    <col min="6" max="6" width="23.5" style="2" bestFit="1" customWidth="1"/>
    <col min="7" max="16384" width="9" style="2"/>
  </cols>
  <sheetData>
    <row r="1" spans="1:6" s="22" customFormat="1" ht="24.95" customHeight="1">
      <c r="A1" s="27" t="s">
        <v>839</v>
      </c>
      <c r="B1" s="27" t="s">
        <v>837</v>
      </c>
      <c r="C1" s="27" t="s">
        <v>838</v>
      </c>
      <c r="D1" s="27" t="s">
        <v>796</v>
      </c>
      <c r="E1" s="27" t="s">
        <v>797</v>
      </c>
      <c r="F1" s="28" t="s">
        <v>858</v>
      </c>
    </row>
    <row r="2" spans="1:6" ht="24.95" customHeight="1">
      <c r="A2" s="78" t="s">
        <v>834</v>
      </c>
      <c r="B2" s="78" t="s">
        <v>798</v>
      </c>
      <c r="C2" s="23" t="s">
        <v>799</v>
      </c>
      <c r="D2" s="23" t="s">
        <v>800</v>
      </c>
      <c r="E2" s="23" t="s">
        <v>801</v>
      </c>
      <c r="F2" s="23"/>
    </row>
    <row r="3" spans="1:6" ht="24.95" customHeight="1">
      <c r="A3" s="23" t="s">
        <v>833</v>
      </c>
      <c r="B3" s="23" t="s">
        <v>802</v>
      </c>
      <c r="C3" s="23" t="s">
        <v>803</v>
      </c>
      <c r="D3" s="23" t="s">
        <v>804</v>
      </c>
      <c r="E3" s="23" t="s">
        <v>805</v>
      </c>
      <c r="F3" s="23"/>
    </row>
    <row r="4" spans="1:6" ht="24.95" customHeight="1">
      <c r="A4" s="23" t="s">
        <v>834</v>
      </c>
      <c r="B4" s="23" t="s">
        <v>1296</v>
      </c>
      <c r="C4" s="23" t="s">
        <v>1295</v>
      </c>
      <c r="D4" s="23"/>
      <c r="E4" s="23"/>
      <c r="F4" s="23"/>
    </row>
    <row r="5" spans="1:6" ht="24.95" customHeight="1">
      <c r="A5" s="23" t="s">
        <v>833</v>
      </c>
      <c r="B5" s="23" t="s">
        <v>806</v>
      </c>
      <c r="C5" s="23" t="s">
        <v>807</v>
      </c>
      <c r="D5" s="23" t="s">
        <v>808</v>
      </c>
      <c r="E5" s="23" t="s">
        <v>809</v>
      </c>
      <c r="F5" s="23"/>
    </row>
    <row r="6" spans="1:6" ht="24.95" customHeight="1">
      <c r="A6" s="23" t="s">
        <v>833</v>
      </c>
      <c r="B6" s="23" t="s">
        <v>810</v>
      </c>
      <c r="C6" s="23" t="s">
        <v>811</v>
      </c>
      <c r="D6" s="24"/>
      <c r="E6" s="23" t="s">
        <v>812</v>
      </c>
      <c r="F6" s="23"/>
    </row>
    <row r="7" spans="1:6" ht="24.95" customHeight="1">
      <c r="A7" s="23" t="s">
        <v>833</v>
      </c>
      <c r="B7" s="23" t="s">
        <v>813</v>
      </c>
      <c r="C7" s="23" t="s">
        <v>814</v>
      </c>
      <c r="D7" s="23" t="s">
        <v>815</v>
      </c>
      <c r="E7" s="23" t="s">
        <v>816</v>
      </c>
      <c r="F7" s="23"/>
    </row>
    <row r="8" spans="1:6" ht="24.95" customHeight="1">
      <c r="A8" s="23" t="s">
        <v>833</v>
      </c>
      <c r="B8" s="23" t="s">
        <v>817</v>
      </c>
      <c r="C8" s="23" t="s">
        <v>818</v>
      </c>
      <c r="D8" s="25"/>
      <c r="E8" s="31" t="s">
        <v>862</v>
      </c>
      <c r="F8" s="23"/>
    </row>
    <row r="9" spans="1:6" ht="24.95" customHeight="1">
      <c r="A9" s="23" t="s">
        <v>833</v>
      </c>
      <c r="B9" s="23" t="s">
        <v>870</v>
      </c>
      <c r="C9" s="23" t="s">
        <v>871</v>
      </c>
      <c r="D9" s="23"/>
      <c r="E9" s="23"/>
      <c r="F9" s="23"/>
    </row>
    <row r="10" spans="1:6" ht="24.95" customHeight="1">
      <c r="A10" s="23"/>
      <c r="B10" s="23"/>
      <c r="C10" s="23"/>
      <c r="D10" s="23"/>
      <c r="E10" s="23"/>
      <c r="F10" s="23"/>
    </row>
    <row r="11" spans="1:6" ht="24.95" customHeight="1">
      <c r="A11" s="23" t="s">
        <v>836</v>
      </c>
      <c r="B11" s="23" t="s">
        <v>819</v>
      </c>
      <c r="C11" s="23" t="s">
        <v>843</v>
      </c>
      <c r="D11" s="23"/>
      <c r="E11" s="29" t="s">
        <v>863</v>
      </c>
      <c r="F11" s="23"/>
    </row>
    <row r="12" spans="1:6" ht="24.95" customHeight="1">
      <c r="A12" s="23" t="s">
        <v>835</v>
      </c>
      <c r="B12" s="23" t="s">
        <v>846</v>
      </c>
      <c r="C12" s="23" t="s">
        <v>820</v>
      </c>
      <c r="D12" s="23"/>
      <c r="E12" s="23" t="s">
        <v>786</v>
      </c>
      <c r="F12" s="23"/>
    </row>
    <row r="13" spans="1:6" ht="24.95" customHeight="1">
      <c r="A13" s="23" t="s">
        <v>835</v>
      </c>
      <c r="B13" s="23" t="s">
        <v>845</v>
      </c>
      <c r="C13" s="23" t="s">
        <v>844</v>
      </c>
      <c r="D13" s="23"/>
      <c r="E13" s="23"/>
      <c r="F13" s="23"/>
    </row>
    <row r="14" spans="1:6" ht="24.95" customHeight="1">
      <c r="A14" s="23" t="s">
        <v>848</v>
      </c>
      <c r="B14" s="30" t="s">
        <v>847</v>
      </c>
      <c r="C14" s="23" t="s">
        <v>853</v>
      </c>
      <c r="D14" s="23"/>
      <c r="E14" s="23" t="s">
        <v>850</v>
      </c>
      <c r="F14" s="23" t="s">
        <v>861</v>
      </c>
    </row>
    <row r="15" spans="1:6" ht="24.95" customHeight="1">
      <c r="A15" s="23" t="s">
        <v>848</v>
      </c>
      <c r="B15" s="23" t="s">
        <v>854</v>
      </c>
      <c r="C15" s="23" t="s">
        <v>855</v>
      </c>
      <c r="D15" s="23"/>
      <c r="E15" s="23" t="s">
        <v>851</v>
      </c>
      <c r="F15" s="23" t="s">
        <v>860</v>
      </c>
    </row>
    <row r="16" spans="1:6" ht="24.95" customHeight="1">
      <c r="A16" s="23" t="s">
        <v>848</v>
      </c>
      <c r="B16" s="23" t="s">
        <v>856</v>
      </c>
      <c r="C16" s="23" t="s">
        <v>857</v>
      </c>
      <c r="D16" s="23"/>
      <c r="E16" s="23" t="s">
        <v>852</v>
      </c>
      <c r="F16" s="23" t="s">
        <v>859</v>
      </c>
    </row>
    <row r="17" spans="1:6" ht="24.95" customHeight="1">
      <c r="A17" s="23"/>
      <c r="B17" s="23" t="s">
        <v>822</v>
      </c>
      <c r="C17" s="23" t="s">
        <v>821</v>
      </c>
      <c r="D17" s="23"/>
      <c r="E17" s="23" t="s">
        <v>823</v>
      </c>
      <c r="F17" s="23"/>
    </row>
    <row r="18" spans="1:6" ht="24.95" customHeight="1">
      <c r="A18" s="23"/>
      <c r="B18" s="23" t="s">
        <v>825</v>
      </c>
      <c r="C18" s="23" t="s">
        <v>824</v>
      </c>
      <c r="D18" s="23"/>
      <c r="E18" s="23" t="s">
        <v>826</v>
      </c>
      <c r="F18" s="23"/>
    </row>
    <row r="19" spans="1:6" ht="24.95" customHeight="1">
      <c r="A19" s="23"/>
      <c r="B19" s="23" t="s">
        <v>828</v>
      </c>
      <c r="C19" s="23" t="s">
        <v>827</v>
      </c>
      <c r="D19" s="23"/>
      <c r="E19" s="23" t="s">
        <v>829</v>
      </c>
      <c r="F19" s="23"/>
    </row>
    <row r="20" spans="1:6" ht="24.95" customHeight="1">
      <c r="A20" s="26"/>
      <c r="B20" s="26" t="s">
        <v>831</v>
      </c>
      <c r="C20" s="26" t="s">
        <v>830</v>
      </c>
      <c r="D20" s="26"/>
      <c r="E20" s="26" t="s">
        <v>832</v>
      </c>
      <c r="F20" s="26"/>
    </row>
    <row r="21" spans="1:6" ht="24.95" customHeight="1">
      <c r="A21" s="26"/>
      <c r="B21" s="26" t="s">
        <v>866</v>
      </c>
      <c r="C21" s="26" t="s">
        <v>867</v>
      </c>
      <c r="D21" s="26"/>
      <c r="E21" s="26" t="s">
        <v>868</v>
      </c>
      <c r="F21" s="26" t="s">
        <v>869</v>
      </c>
    </row>
    <row r="22" spans="1:6" ht="24.95" customHeight="1">
      <c r="A22" s="23"/>
      <c r="B22" s="23" t="s">
        <v>872</v>
      </c>
      <c r="C22" s="23" t="s">
        <v>873</v>
      </c>
      <c r="D22" s="23"/>
      <c r="E22" s="23"/>
      <c r="F22" s="23"/>
    </row>
    <row r="23" spans="1:6" ht="24.95" customHeight="1">
      <c r="A23" s="26"/>
      <c r="B23" s="26" t="s">
        <v>874</v>
      </c>
      <c r="C23" s="79" t="s">
        <v>875</v>
      </c>
      <c r="D23" s="26"/>
      <c r="E23" s="26"/>
      <c r="F23" s="26"/>
    </row>
  </sheetData>
  <phoneticPr fontId="1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ABFE6-0E3D-41E3-A8E9-BDC84F153A78}">
  <dimension ref="A1:G257"/>
  <sheetViews>
    <sheetView zoomScaleNormal="100" zoomScaleSheetLayoutView="100" workbookViewId="0">
      <selection activeCell="G237" sqref="G237"/>
    </sheetView>
  </sheetViews>
  <sheetFormatPr defaultRowHeight="24.95" customHeight="1"/>
  <cols>
    <col min="1" max="1" width="8" style="2" customWidth="1"/>
    <col min="2" max="2" width="10" style="2" bestFit="1" customWidth="1"/>
    <col min="3" max="3" width="12.5" style="2" hidden="1" customWidth="1"/>
    <col min="4" max="4" width="9.875" style="2" customWidth="1"/>
    <col min="5" max="5" width="26.125" style="2" bestFit="1" customWidth="1"/>
    <col min="6" max="6" width="11" style="2" bestFit="1" customWidth="1"/>
    <col min="7" max="7" width="109.25" style="34" bestFit="1" customWidth="1"/>
    <col min="8" max="16384" width="9" style="2"/>
  </cols>
  <sheetData>
    <row r="1" spans="1:7" s="4" customFormat="1" ht="33.75" customHeight="1">
      <c r="A1" s="19" t="s">
        <v>525</v>
      </c>
      <c r="B1" s="19" t="s">
        <v>524</v>
      </c>
      <c r="C1" s="39" t="s">
        <v>1276</v>
      </c>
      <c r="D1" s="39" t="s">
        <v>1259</v>
      </c>
      <c r="E1" s="19" t="s">
        <v>536</v>
      </c>
      <c r="F1" s="19" t="s">
        <v>522</v>
      </c>
      <c r="G1" s="32" t="s">
        <v>523</v>
      </c>
    </row>
    <row r="2" spans="1:7" ht="24.95" customHeight="1">
      <c r="A2" s="5" t="str">
        <f t="array" ref="A2">LEFT(F2, MIN(FIND({0,1,2,3,4,5,6,7,8,9}, F2 &amp; "0123456789")) - 1)</f>
        <v>AIW</v>
      </c>
      <c r="B2" s="1">
        <f t="shared" ref="B2:B65" si="0">VALUE(RIGHT(F2,LEN(F2)-LEN(A2)))</f>
        <v>18</v>
      </c>
      <c r="C2" s="1"/>
      <c r="D2" s="1">
        <f t="shared" ref="D2:D65" si="1">LEN(E2)</f>
        <v>15</v>
      </c>
      <c r="E2" s="38" t="s">
        <v>1260</v>
      </c>
      <c r="F2" s="1" t="s">
        <v>1215</v>
      </c>
      <c r="G2" s="25" t="s">
        <v>1216</v>
      </c>
    </row>
    <row r="3" spans="1:7" ht="24.95" customHeight="1">
      <c r="A3" s="5" t="str">
        <f t="array" ref="A3">LEFT(F3, MIN(FIND({0,1,2,3,4,5,6,7,8,9}, F3 &amp; "0123456789")) - 1)</f>
        <v>AIW</v>
      </c>
      <c r="B3" s="1">
        <f t="shared" si="0"/>
        <v>20</v>
      </c>
      <c r="C3" s="1"/>
      <c r="D3" s="1">
        <f t="shared" si="1"/>
        <v>15</v>
      </c>
      <c r="E3" s="38" t="s">
        <v>1261</v>
      </c>
      <c r="F3" s="1" t="s">
        <v>1217</v>
      </c>
      <c r="G3" s="25" t="s">
        <v>1218</v>
      </c>
    </row>
    <row r="4" spans="1:7" ht="24.95" customHeight="1">
      <c r="A4" s="5" t="str">
        <f t="array" ref="A4">LEFT(F4, MIN(FIND({0,1,2,3,4,5,6,7,8,9}, F4 &amp; "0123456789")) - 1)</f>
        <v>AQW</v>
      </c>
      <c r="B4" s="1">
        <f t="shared" si="0"/>
        <v>16</v>
      </c>
      <c r="C4" s="1"/>
      <c r="D4" s="1">
        <f t="shared" si="1"/>
        <v>16</v>
      </c>
      <c r="E4" s="38" t="s">
        <v>1262</v>
      </c>
      <c r="F4" s="1" t="s">
        <v>1211</v>
      </c>
      <c r="G4" s="25" t="s">
        <v>1212</v>
      </c>
    </row>
    <row r="5" spans="1:7" ht="24.95" customHeight="1">
      <c r="A5" s="5" t="str">
        <f t="array" ref="A5">LEFT(F5, MIN(FIND({0,1,2,3,4,5,6,7,8,9}, F5 &amp; "0123456789")) - 1)</f>
        <v>AQW</v>
      </c>
      <c r="B5" s="1">
        <f t="shared" si="0"/>
        <v>18</v>
      </c>
      <c r="C5" s="1"/>
      <c r="D5" s="1">
        <f t="shared" si="1"/>
        <v>16</v>
      </c>
      <c r="E5" s="38" t="s">
        <v>1263</v>
      </c>
      <c r="F5" s="7" t="s">
        <v>1213</v>
      </c>
      <c r="G5" s="25" t="s">
        <v>1214</v>
      </c>
    </row>
    <row r="6" spans="1:7" ht="24.95" customHeight="1">
      <c r="A6" s="5" t="str">
        <f t="array" ref="A6">LEFT(F6, MIN(FIND({0,1,2,3,4,5,6,7,8,9}, F6 &amp; "0123456789")) - 1)</f>
        <v>C</v>
      </c>
      <c r="B6" s="1">
        <f t="shared" si="0"/>
        <v>0</v>
      </c>
      <c r="C6" s="1"/>
      <c r="D6" s="1">
        <f t="shared" si="1"/>
        <v>14</v>
      </c>
      <c r="E6" s="1" t="s">
        <v>926</v>
      </c>
      <c r="F6" s="7" t="s">
        <v>719</v>
      </c>
      <c r="G6" s="40" t="s">
        <v>1398</v>
      </c>
    </row>
    <row r="7" spans="1:7" ht="24.95" customHeight="1">
      <c r="A7" s="5" t="str">
        <f t="array" ref="A7">LEFT(F7, MIN(FIND({0,1,2,3,4,5,6,7,8,9}, F7 &amp; "0123456789")) - 1)</f>
        <v>C</v>
      </c>
      <c r="B7" s="1">
        <f t="shared" si="0"/>
        <v>1</v>
      </c>
      <c r="C7" s="1"/>
      <c r="D7" s="1">
        <f t="shared" si="1"/>
        <v>14</v>
      </c>
      <c r="E7" s="1" t="s">
        <v>927</v>
      </c>
      <c r="F7" s="1" t="s">
        <v>720</v>
      </c>
      <c r="G7" s="25" t="s">
        <v>1399</v>
      </c>
    </row>
    <row r="8" spans="1:7" ht="24.95" customHeight="1">
      <c r="A8" s="5" t="str">
        <f t="array" ref="A8">LEFT(F8, MIN(FIND({0,1,2,3,4,5,6,7,8,9}, F8 &amp; "0123456789")) - 1)</f>
        <v>C</v>
      </c>
      <c r="B8" s="1">
        <f t="shared" si="0"/>
        <v>2</v>
      </c>
      <c r="C8" s="1"/>
      <c r="D8" s="1">
        <f t="shared" si="1"/>
        <v>14</v>
      </c>
      <c r="E8" s="6" t="s">
        <v>928</v>
      </c>
      <c r="F8" s="1" t="s">
        <v>721</v>
      </c>
      <c r="G8" s="25" t="s">
        <v>1400</v>
      </c>
    </row>
    <row r="9" spans="1:7" ht="24.95" customHeight="1">
      <c r="A9" s="5" t="str">
        <f t="array" ref="A9">LEFT(F9, MIN(FIND({0,1,2,3,4,5,6,7,8,9}, F9 &amp; "0123456789")) - 1)</f>
        <v>C</v>
      </c>
      <c r="B9" s="1">
        <f t="shared" si="0"/>
        <v>3</v>
      </c>
      <c r="C9" s="1"/>
      <c r="D9" s="1">
        <f t="shared" si="1"/>
        <v>14</v>
      </c>
      <c r="E9" s="1" t="s">
        <v>929</v>
      </c>
      <c r="F9" s="1" t="s">
        <v>722</v>
      </c>
      <c r="G9" s="25" t="s">
        <v>1401</v>
      </c>
    </row>
    <row r="10" spans="1:7" ht="24.95" customHeight="1">
      <c r="A10" s="5" t="str">
        <f t="array" ref="A10">LEFT(F10, MIN(FIND({0,1,2,3,4,5,6,7,8,9}, F10 &amp; "0123456789")) - 1)</f>
        <v>C</v>
      </c>
      <c r="B10" s="1">
        <f t="shared" si="0"/>
        <v>4</v>
      </c>
      <c r="C10" s="1"/>
      <c r="D10" s="1">
        <f t="shared" si="1"/>
        <v>14</v>
      </c>
      <c r="E10" s="8" t="s">
        <v>930</v>
      </c>
      <c r="F10" s="1" t="s">
        <v>723</v>
      </c>
      <c r="G10" s="25" t="s">
        <v>1402</v>
      </c>
    </row>
    <row r="11" spans="1:7" ht="24.95" customHeight="1">
      <c r="A11" s="5" t="str">
        <f t="array" ref="A11">LEFT(F11, MIN(FIND({0,1,2,3,4,5,6,7,8,9}, F11 &amp; "0123456789")) - 1)</f>
        <v>C</v>
      </c>
      <c r="B11" s="1">
        <f t="shared" si="0"/>
        <v>5</v>
      </c>
      <c r="C11" s="1"/>
      <c r="D11" s="1">
        <f t="shared" si="1"/>
        <v>14</v>
      </c>
      <c r="E11" s="1" t="s">
        <v>931</v>
      </c>
      <c r="F11" s="1" t="s">
        <v>724</v>
      </c>
      <c r="G11" s="25" t="s">
        <v>1403</v>
      </c>
    </row>
    <row r="12" spans="1:7" ht="24.95" customHeight="1">
      <c r="A12" s="5" t="str">
        <f t="array" ref="A12">LEFT(F12, MIN(FIND({0,1,2,3,4,5,6,7,8,9}, F12 &amp; "0123456789")) - 1)</f>
        <v>C</v>
      </c>
      <c r="B12" s="1">
        <f t="shared" si="0"/>
        <v>100</v>
      </c>
      <c r="C12" s="1"/>
      <c r="D12" s="1">
        <f t="shared" si="1"/>
        <v>20</v>
      </c>
      <c r="E12" s="1" t="s">
        <v>725</v>
      </c>
      <c r="F12" s="1" t="s">
        <v>726</v>
      </c>
      <c r="G12" s="25" t="s">
        <v>1404</v>
      </c>
    </row>
    <row r="13" spans="1:7" ht="24.95" customHeight="1">
      <c r="A13" s="5" t="str">
        <f t="array" ref="A13">LEFT(F13, MIN(FIND({0,1,2,3,4,5,6,7,8,9}, F13 &amp; "0123456789")) - 1)</f>
        <v>C</v>
      </c>
      <c r="B13" s="1">
        <f t="shared" si="0"/>
        <v>101</v>
      </c>
      <c r="C13" s="1"/>
      <c r="D13" s="1">
        <f t="shared" si="1"/>
        <v>18</v>
      </c>
      <c r="E13" s="1" t="s">
        <v>727</v>
      </c>
      <c r="F13" s="1" t="s">
        <v>728</v>
      </c>
      <c r="G13" s="25" t="s">
        <v>1405</v>
      </c>
    </row>
    <row r="14" spans="1:7" ht="24.95" customHeight="1">
      <c r="A14" s="5" t="str">
        <f t="array" ref="A14">LEFT(F14, MIN(FIND({0,1,2,3,4,5,6,7,8,9}, F14 &amp; "0123456789")) - 1)</f>
        <v>C</v>
      </c>
      <c r="B14" s="1">
        <f t="shared" si="0"/>
        <v>102</v>
      </c>
      <c r="C14" s="1"/>
      <c r="D14" s="1">
        <f t="shared" si="1"/>
        <v>19</v>
      </c>
      <c r="E14" s="1" t="s">
        <v>729</v>
      </c>
      <c r="F14" s="7" t="s">
        <v>730</v>
      </c>
      <c r="G14" s="25" t="s">
        <v>1406</v>
      </c>
    </row>
    <row r="15" spans="1:7" ht="24.95" customHeight="1">
      <c r="A15" s="5" t="str">
        <f t="array" ref="A15">LEFT(F15, MIN(FIND({0,1,2,3,4,5,6,7,8,9}, F15 &amp; "0123456789")) - 1)</f>
        <v>C</v>
      </c>
      <c r="B15" s="1">
        <f t="shared" si="0"/>
        <v>103</v>
      </c>
      <c r="C15" s="1"/>
      <c r="D15" s="1">
        <f t="shared" si="1"/>
        <v>19</v>
      </c>
      <c r="E15" s="1" t="s">
        <v>1510</v>
      </c>
      <c r="F15" s="1" t="s">
        <v>1511</v>
      </c>
      <c r="G15" s="25" t="s">
        <v>1512</v>
      </c>
    </row>
    <row r="16" spans="1:7" ht="24.95" customHeight="1">
      <c r="A16" s="5" t="str">
        <f t="array" ref="A16">LEFT(F16, MIN(FIND({0,1,2,3,4,5,6,7,8,9}, F16 &amp; "0123456789")) - 1)</f>
        <v>C</v>
      </c>
      <c r="B16" s="1">
        <f t="shared" si="0"/>
        <v>104</v>
      </c>
      <c r="C16" s="1"/>
      <c r="D16" s="1">
        <f t="shared" si="1"/>
        <v>17</v>
      </c>
      <c r="E16" s="1" t="s">
        <v>1513</v>
      </c>
      <c r="F16" s="1" t="s">
        <v>1514</v>
      </c>
      <c r="G16" s="25" t="s">
        <v>1515</v>
      </c>
    </row>
    <row r="17" spans="1:7" ht="24.95" customHeight="1">
      <c r="A17" s="5" t="str">
        <f t="array" ref="A17">LEFT(F17, MIN(FIND({0,1,2,3,4,5,6,7,8,9}, F17 &amp; "0123456789")) - 1)</f>
        <v>C</v>
      </c>
      <c r="B17" s="1">
        <f t="shared" si="0"/>
        <v>105</v>
      </c>
      <c r="C17" s="1"/>
      <c r="D17" s="1">
        <f t="shared" si="1"/>
        <v>20</v>
      </c>
      <c r="E17" s="1" t="s">
        <v>1516</v>
      </c>
      <c r="F17" s="1" t="s">
        <v>1517</v>
      </c>
      <c r="G17" s="25" t="s">
        <v>1518</v>
      </c>
    </row>
    <row r="18" spans="1:7" ht="24.95" customHeight="1">
      <c r="A18" s="5" t="str">
        <f t="array" ref="A18">LEFT(F18, MIN(FIND({0,1,2,3,4,5,6,7,8,9}, F18 &amp; "0123456789")) - 1)</f>
        <v>C</v>
      </c>
      <c r="B18" s="1">
        <f t="shared" si="0"/>
        <v>106</v>
      </c>
      <c r="C18" s="1"/>
      <c r="D18" s="1">
        <f t="shared" si="1"/>
        <v>21</v>
      </c>
      <c r="E18" s="1" t="s">
        <v>1519</v>
      </c>
      <c r="F18" s="1" t="s">
        <v>1520</v>
      </c>
      <c r="G18" s="25" t="s">
        <v>1521</v>
      </c>
    </row>
    <row r="19" spans="1:7" ht="24.95" customHeight="1">
      <c r="A19" s="5" t="str">
        <f t="array" ref="A19">LEFT(F19, MIN(FIND({0,1,2,3,4,5,6,7,8,9}, F19 &amp; "0123456789")) - 1)</f>
        <v>M</v>
      </c>
      <c r="B19" s="1">
        <f t="shared" si="0"/>
        <v>20</v>
      </c>
      <c r="C19" s="1"/>
      <c r="D19" s="1">
        <f t="shared" si="1"/>
        <v>19</v>
      </c>
      <c r="E19" s="38" t="s">
        <v>948</v>
      </c>
      <c r="F19" s="1" t="s">
        <v>1108</v>
      </c>
      <c r="G19" s="33" t="s">
        <v>1538</v>
      </c>
    </row>
    <row r="20" spans="1:7" ht="24.95" customHeight="1">
      <c r="A20" s="5" t="str">
        <f t="array" ref="A20">LEFT(F20, MIN(FIND({0,1,2,3,4,5,6,7,8,9}, F20 &amp; "0123456789")) - 1)</f>
        <v>M</v>
      </c>
      <c r="B20" s="1">
        <f t="shared" si="0"/>
        <v>20.100000000000001</v>
      </c>
      <c r="C20" s="1"/>
      <c r="D20" s="1">
        <f t="shared" si="1"/>
        <v>16</v>
      </c>
      <c r="E20" s="1" t="s">
        <v>949</v>
      </c>
      <c r="F20" s="1" t="s">
        <v>1109</v>
      </c>
      <c r="G20" s="25" t="s">
        <v>224</v>
      </c>
    </row>
    <row r="21" spans="1:7" ht="24.95" customHeight="1">
      <c r="A21" s="5" t="str">
        <f t="array" ref="A21">LEFT(F21, MIN(FIND({0,1,2,3,4,5,6,7,8,9}, F21 &amp; "0123456789")) - 1)</f>
        <v>M</v>
      </c>
      <c r="B21" s="1">
        <f t="shared" si="0"/>
        <v>20.2</v>
      </c>
      <c r="C21" s="1"/>
      <c r="D21" s="1">
        <f t="shared" si="1"/>
        <v>14</v>
      </c>
      <c r="E21" s="6" t="s">
        <v>950</v>
      </c>
      <c r="F21" s="1" t="s">
        <v>1110</v>
      </c>
      <c r="G21" s="25" t="s">
        <v>1112</v>
      </c>
    </row>
    <row r="22" spans="1:7" ht="24.95" customHeight="1">
      <c r="A22" s="5" t="str">
        <f t="array" ref="A22">LEFT(F22, MIN(FIND({0,1,2,3,4,5,6,7,8,9}, F22 &amp; "0123456789")) - 1)</f>
        <v>M</v>
      </c>
      <c r="B22" s="1">
        <f t="shared" si="0"/>
        <v>20.3</v>
      </c>
      <c r="C22" s="1"/>
      <c r="D22" s="1">
        <f t="shared" si="1"/>
        <v>18</v>
      </c>
      <c r="E22" s="1" t="s">
        <v>951</v>
      </c>
      <c r="F22" s="1" t="s">
        <v>1111</v>
      </c>
      <c r="G22" s="25" t="s">
        <v>770</v>
      </c>
    </row>
    <row r="23" spans="1:7" ht="24.95" customHeight="1">
      <c r="A23" s="5" t="str">
        <f t="array" ref="A23">LEFT(F23, MIN(FIND({0,1,2,3,4,5,6,7,8,9}, F23 &amp; "0123456789")) - 1)</f>
        <v>M</v>
      </c>
      <c r="B23" s="1">
        <f t="shared" si="0"/>
        <v>20.399999999999999</v>
      </c>
      <c r="C23" s="1"/>
      <c r="D23" s="1">
        <f t="shared" si="1"/>
        <v>19</v>
      </c>
      <c r="E23" s="5" t="s">
        <v>952</v>
      </c>
      <c r="F23" s="1" t="s">
        <v>1113</v>
      </c>
      <c r="G23" s="25" t="s">
        <v>771</v>
      </c>
    </row>
    <row r="24" spans="1:7" ht="24.95" customHeight="1">
      <c r="A24" s="5" t="str">
        <f t="array" ref="A24">LEFT(F24, MIN(FIND({0,1,2,3,4,5,6,7,8,9}, F24 &amp; "0123456789")) - 1)</f>
        <v>M</v>
      </c>
      <c r="B24" s="1">
        <f t="shared" si="0"/>
        <v>20.5</v>
      </c>
      <c r="C24" s="1"/>
      <c r="D24" s="1">
        <f t="shared" si="1"/>
        <v>18</v>
      </c>
      <c r="E24" s="1" t="s">
        <v>953</v>
      </c>
      <c r="F24" s="1" t="s">
        <v>1114</v>
      </c>
      <c r="G24" s="25" t="s">
        <v>772</v>
      </c>
    </row>
    <row r="25" spans="1:7" ht="24.95" customHeight="1">
      <c r="A25" s="5" t="str">
        <f t="array" ref="A25">LEFT(F25, MIN(FIND({0,1,2,3,4,5,6,7,8,9}, F25 &amp; "0123456789")) - 1)</f>
        <v>M</v>
      </c>
      <c r="B25" s="1">
        <f t="shared" si="0"/>
        <v>0.1</v>
      </c>
      <c r="C25" s="1"/>
      <c r="D25" s="1">
        <f t="shared" si="1"/>
        <v>14</v>
      </c>
      <c r="E25" s="1" t="s">
        <v>731</v>
      </c>
      <c r="F25" s="7" t="s">
        <v>33</v>
      </c>
      <c r="G25" s="25" t="s">
        <v>732</v>
      </c>
    </row>
    <row r="26" spans="1:7" ht="24.95" customHeight="1">
      <c r="A26" s="5" t="str">
        <f t="array" ref="A26">LEFT(F26, MIN(FIND({0,1,2,3,4,5,6,7,8,9}, F26 &amp; "0123456789")) - 1)</f>
        <v>M</v>
      </c>
      <c r="B26" s="1">
        <f t="shared" si="0"/>
        <v>0.2</v>
      </c>
      <c r="C26" s="1"/>
      <c r="D26" s="1">
        <f t="shared" si="1"/>
        <v>15</v>
      </c>
      <c r="E26" s="6" t="s">
        <v>733</v>
      </c>
      <c r="F26" s="1" t="s">
        <v>48</v>
      </c>
      <c r="G26" s="25" t="s">
        <v>734</v>
      </c>
    </row>
    <row r="27" spans="1:7" ht="24.95" customHeight="1">
      <c r="A27" s="5" t="str">
        <f t="array" ref="A27">LEFT(F27, MIN(FIND({0,1,2,3,4,5,6,7,8,9}, F27 &amp; "0123456789")) - 1)</f>
        <v>M</v>
      </c>
      <c r="B27" s="1">
        <f t="shared" si="0"/>
        <v>0.3</v>
      </c>
      <c r="C27" s="1"/>
      <c r="D27" s="1">
        <f t="shared" si="1"/>
        <v>18</v>
      </c>
      <c r="E27" s="1" t="s">
        <v>1231</v>
      </c>
      <c r="F27" s="1" t="s">
        <v>60</v>
      </c>
      <c r="G27" s="25" t="s">
        <v>750</v>
      </c>
    </row>
    <row r="28" spans="1:7" ht="24.95" customHeight="1">
      <c r="A28" s="5" t="str">
        <f t="array" ref="A28">LEFT(F28, MIN(FIND({0,1,2,3,4,5,6,7,8,9}, F28 &amp; "0123456789")) - 1)</f>
        <v>M</v>
      </c>
      <c r="B28" s="1">
        <f t="shared" si="0"/>
        <v>0.4</v>
      </c>
      <c r="C28" s="1"/>
      <c r="D28" s="1">
        <f t="shared" si="1"/>
        <v>15</v>
      </c>
      <c r="E28" s="1" t="s">
        <v>1407</v>
      </c>
      <c r="F28" s="1" t="s">
        <v>70</v>
      </c>
      <c r="G28" s="25" t="s">
        <v>1408</v>
      </c>
    </row>
    <row r="29" spans="1:7" ht="24.95" customHeight="1">
      <c r="A29" s="5" t="str">
        <f t="array" ref="A29">LEFT(F29, MIN(FIND({0,1,2,3,4,5,6,7,8,9}, F29 &amp; "0123456789")) - 1)</f>
        <v>M</v>
      </c>
      <c r="B29" s="1">
        <f t="shared" si="0"/>
        <v>0.5</v>
      </c>
      <c r="C29" s="1"/>
      <c r="D29" s="1">
        <f t="shared" si="1"/>
        <v>18</v>
      </c>
      <c r="E29" s="1" t="s">
        <v>792</v>
      </c>
      <c r="F29" s="1" t="s">
        <v>79</v>
      </c>
      <c r="G29" s="25" t="s">
        <v>793</v>
      </c>
    </row>
    <row r="30" spans="1:7" ht="24.95" customHeight="1">
      <c r="A30" s="5" t="str">
        <f t="array" ref="A30">LEFT(F30, MIN(FIND({0,1,2,3,4,5,6,7,8,9}, F30 &amp; "0123456789")) - 1)</f>
        <v>M</v>
      </c>
      <c r="B30" s="1">
        <f t="shared" si="0"/>
        <v>0.6</v>
      </c>
      <c r="C30" s="1"/>
      <c r="D30" s="1">
        <f t="shared" si="1"/>
        <v>15</v>
      </c>
      <c r="E30" s="1" t="s">
        <v>938</v>
      </c>
      <c r="F30" s="1" t="s">
        <v>90</v>
      </c>
      <c r="G30" s="25" t="s">
        <v>939</v>
      </c>
    </row>
    <row r="31" spans="1:7" ht="24.95" customHeight="1">
      <c r="A31" s="5" t="str">
        <f t="array" ref="A31">LEFT(F31, MIN(FIND({0,1,2,3,4,5,6,7,8,9}, F31 &amp; "0123456789")) - 1)</f>
        <v>M</v>
      </c>
      <c r="B31" s="1">
        <f t="shared" si="0"/>
        <v>0.7</v>
      </c>
      <c r="C31" s="1"/>
      <c r="D31" s="1">
        <f t="shared" si="1"/>
        <v>19</v>
      </c>
      <c r="E31" s="1" t="s">
        <v>940</v>
      </c>
      <c r="F31" s="1" t="s">
        <v>98</v>
      </c>
      <c r="G31" s="25" t="s">
        <v>941</v>
      </c>
    </row>
    <row r="32" spans="1:7" ht="24.95" customHeight="1">
      <c r="A32" s="5" t="str">
        <f t="array" ref="A32">LEFT(F32, MIN(FIND({0,1,2,3,4,5,6,7,8,9}, F32 &amp; "0123456789")) - 1)</f>
        <v>M</v>
      </c>
      <c r="B32" s="1">
        <f t="shared" si="0"/>
        <v>1</v>
      </c>
      <c r="C32" s="1"/>
      <c r="D32" s="1">
        <f t="shared" si="1"/>
        <v>21</v>
      </c>
      <c r="E32" s="1" t="s">
        <v>942</v>
      </c>
      <c r="F32" s="1" t="s">
        <v>1088</v>
      </c>
      <c r="G32" s="25" t="s">
        <v>1232</v>
      </c>
    </row>
    <row r="33" spans="1:7" ht="24.95" customHeight="1">
      <c r="A33" s="5" t="str">
        <f t="array" ref="A33">LEFT(F33, MIN(FIND({0,1,2,3,4,5,6,7,8,9}, F33 &amp; "0123456789")) - 1)</f>
        <v>M</v>
      </c>
      <c r="B33" s="1">
        <f t="shared" si="0"/>
        <v>1.1000000000000001</v>
      </c>
      <c r="C33" s="1"/>
      <c r="D33" s="1">
        <f t="shared" si="1"/>
        <v>13</v>
      </c>
      <c r="E33" s="1" t="s">
        <v>1233</v>
      </c>
      <c r="F33" s="1" t="s">
        <v>111</v>
      </c>
      <c r="G33" s="25" t="s">
        <v>943</v>
      </c>
    </row>
    <row r="34" spans="1:7" ht="24.95" customHeight="1">
      <c r="A34" s="5" t="str">
        <f t="array" ref="A34">LEFT(F34, MIN(FIND({0,1,2,3,4,5,6,7,8,9}, F34 &amp; "0123456789")) - 1)</f>
        <v>M</v>
      </c>
      <c r="B34" s="1">
        <f t="shared" si="0"/>
        <v>1.2</v>
      </c>
      <c r="C34" s="1"/>
      <c r="D34" s="1">
        <f t="shared" si="1"/>
        <v>17</v>
      </c>
      <c r="E34" s="1" t="s">
        <v>1234</v>
      </c>
      <c r="F34" s="1" t="s">
        <v>116</v>
      </c>
      <c r="G34" s="25" t="s">
        <v>944</v>
      </c>
    </row>
    <row r="35" spans="1:7" ht="24.95" customHeight="1">
      <c r="A35" s="5" t="str">
        <f t="array" ref="A35">LEFT(F35, MIN(FIND({0,1,2,3,4,5,6,7,8,9}, F35 &amp; "0123456789")) - 1)</f>
        <v>M</v>
      </c>
      <c r="B35" s="1">
        <f t="shared" si="0"/>
        <v>1.3</v>
      </c>
      <c r="C35" s="1"/>
      <c r="D35" s="1">
        <f t="shared" si="1"/>
        <v>18</v>
      </c>
      <c r="E35" s="1" t="s">
        <v>1235</v>
      </c>
      <c r="F35" s="1" t="s">
        <v>122</v>
      </c>
      <c r="G35" s="25" t="s">
        <v>945</v>
      </c>
    </row>
    <row r="36" spans="1:7" ht="24.95" customHeight="1">
      <c r="A36" s="5" t="str">
        <f t="array" ref="A36">LEFT(F36, MIN(FIND({0,1,2,3,4,5,6,7,8,9}, F36 &amp; "0123456789")) - 1)</f>
        <v>M</v>
      </c>
      <c r="B36" s="1">
        <f t="shared" si="0"/>
        <v>1.4</v>
      </c>
      <c r="C36" s="1"/>
      <c r="D36" s="1">
        <f t="shared" si="1"/>
        <v>20</v>
      </c>
      <c r="E36" s="1" t="s">
        <v>946</v>
      </c>
      <c r="F36" s="1" t="s">
        <v>126</v>
      </c>
      <c r="G36" s="25" t="s">
        <v>947</v>
      </c>
    </row>
    <row r="37" spans="1:7" ht="24.95" customHeight="1">
      <c r="A37" s="5" t="str">
        <f t="array" ref="A37">LEFT(F37, MIN(FIND({0,1,2,3,4,5,6,7,8,9}, F37 &amp; "0123456789")) - 1)</f>
        <v>M</v>
      </c>
      <c r="B37" s="1">
        <f t="shared" si="0"/>
        <v>1.5</v>
      </c>
      <c r="C37" s="1"/>
      <c r="D37" s="1">
        <f t="shared" si="1"/>
        <v>15</v>
      </c>
      <c r="E37" s="1" t="s">
        <v>1522</v>
      </c>
      <c r="F37" s="1" t="s">
        <v>131</v>
      </c>
      <c r="G37" s="25" t="s">
        <v>1523</v>
      </c>
    </row>
    <row r="38" spans="1:7" ht="24.95" customHeight="1">
      <c r="A38" s="5" t="str">
        <f t="array" ref="A38">LEFT(F38, MIN(FIND({0,1,2,3,4,5,6,7,8,9}, F38 &amp; "0123456789")) - 1)</f>
        <v>M</v>
      </c>
      <c r="B38" s="1">
        <f t="shared" si="0"/>
        <v>1.6</v>
      </c>
      <c r="C38" s="1"/>
      <c r="D38" s="1">
        <f t="shared" si="1"/>
        <v>18</v>
      </c>
      <c r="E38" s="1" t="s">
        <v>958</v>
      </c>
      <c r="F38" s="1" t="s">
        <v>135</v>
      </c>
      <c r="G38" s="25" t="s">
        <v>959</v>
      </c>
    </row>
    <row r="39" spans="1:7" ht="24.95" customHeight="1">
      <c r="A39" s="5" t="str">
        <f t="array" ref="A39">LEFT(F39, MIN(FIND({0,1,2,3,4,5,6,7,8,9}, F39 &amp; "0123456789")) - 1)</f>
        <v>M</v>
      </c>
      <c r="B39" s="1">
        <f t="shared" si="0"/>
        <v>1.7</v>
      </c>
      <c r="C39" s="1"/>
      <c r="D39" s="1">
        <f t="shared" si="1"/>
        <v>18</v>
      </c>
      <c r="E39" s="1" t="s">
        <v>960</v>
      </c>
      <c r="F39" s="1" t="s">
        <v>138</v>
      </c>
      <c r="G39" s="25" t="s">
        <v>961</v>
      </c>
    </row>
    <row r="40" spans="1:7" ht="24.95" customHeight="1">
      <c r="A40" s="5" t="str">
        <f t="array" ref="A40">LEFT(F40, MIN(FIND({0,1,2,3,4,5,6,7,8,9}, F40 &amp; "0123456789")) - 1)</f>
        <v>M</v>
      </c>
      <c r="B40" s="1">
        <f t="shared" si="0"/>
        <v>2</v>
      </c>
      <c r="C40" s="1"/>
      <c r="D40" s="1">
        <f t="shared" si="1"/>
        <v>15</v>
      </c>
      <c r="E40" s="6" t="s">
        <v>962</v>
      </c>
      <c r="F40" s="7" t="s">
        <v>736</v>
      </c>
      <c r="G40" s="25" t="s">
        <v>963</v>
      </c>
    </row>
    <row r="41" spans="1:7" ht="24.95" customHeight="1">
      <c r="A41" s="5" t="str">
        <f t="array" ref="A41">LEFT(F41, MIN(FIND({0,1,2,3,4,5,6,7,8,9}, F41 &amp; "0123456789")) - 1)</f>
        <v>M</v>
      </c>
      <c r="B41" s="1">
        <f t="shared" si="0"/>
        <v>2.1</v>
      </c>
      <c r="C41" s="1"/>
      <c r="D41" s="1">
        <f t="shared" si="1"/>
        <v>22</v>
      </c>
      <c r="E41" s="1" t="s">
        <v>964</v>
      </c>
      <c r="F41" s="1" t="s">
        <v>144</v>
      </c>
      <c r="G41" s="25" t="s">
        <v>965</v>
      </c>
    </row>
    <row r="42" spans="1:7" ht="24.95" customHeight="1">
      <c r="A42" s="5" t="str">
        <f t="array" ref="A42">LEFT(F42, MIN(FIND({0,1,2,3,4,5,6,7,8,9}, F42 &amp; "0123456789")) - 1)</f>
        <v>M</v>
      </c>
      <c r="B42" s="1">
        <f t="shared" si="0"/>
        <v>2.2000000000000002</v>
      </c>
      <c r="C42" s="1"/>
      <c r="D42" s="1">
        <f t="shared" si="1"/>
        <v>16</v>
      </c>
      <c r="E42" s="1" t="s">
        <v>966</v>
      </c>
      <c r="F42" s="7" t="s">
        <v>148</v>
      </c>
      <c r="G42" s="25" t="s">
        <v>967</v>
      </c>
    </row>
    <row r="43" spans="1:7" ht="24.95" customHeight="1">
      <c r="A43" s="5" t="str">
        <f t="array" ref="A43">LEFT(F43, MIN(FIND({0,1,2,3,4,5,6,7,8,9}, F43 &amp; "0123456789")) - 1)</f>
        <v>M</v>
      </c>
      <c r="B43" s="1">
        <f t="shared" si="0"/>
        <v>2.2999999999999998</v>
      </c>
      <c r="C43" s="1"/>
      <c r="D43" s="1">
        <f t="shared" si="1"/>
        <v>16</v>
      </c>
      <c r="E43" s="38" t="s">
        <v>968</v>
      </c>
      <c r="F43" s="1" t="s">
        <v>151</v>
      </c>
      <c r="G43" s="25" t="s">
        <v>969</v>
      </c>
    </row>
    <row r="44" spans="1:7" ht="24.95" customHeight="1">
      <c r="A44" s="5" t="str">
        <f t="array" ref="A44">LEFT(F44, MIN(FIND({0,1,2,3,4,5,6,7,8,9}, F44 &amp; "0123456789")) - 1)</f>
        <v>M</v>
      </c>
      <c r="B44" s="1">
        <f t="shared" si="0"/>
        <v>2.4</v>
      </c>
      <c r="C44" s="1"/>
      <c r="D44" s="1">
        <f t="shared" si="1"/>
        <v>16</v>
      </c>
      <c r="E44" s="1" t="s">
        <v>970</v>
      </c>
      <c r="F44" s="1" t="s">
        <v>154</v>
      </c>
      <c r="G44" s="25" t="s">
        <v>971</v>
      </c>
    </row>
    <row r="45" spans="1:7" ht="24.95" customHeight="1">
      <c r="A45" s="5" t="str">
        <f t="array" ref="A45">LEFT(F45, MIN(FIND({0,1,2,3,4,5,6,7,8,9}, F45 &amp; "0123456789")) - 1)</f>
        <v>M</v>
      </c>
      <c r="B45" s="1">
        <f t="shared" si="0"/>
        <v>2.5</v>
      </c>
      <c r="C45" s="1"/>
      <c r="D45" s="1">
        <f t="shared" si="1"/>
        <v>16</v>
      </c>
      <c r="E45" s="6" t="s">
        <v>972</v>
      </c>
      <c r="F45" s="7" t="s">
        <v>157</v>
      </c>
      <c r="G45" s="25" t="s">
        <v>973</v>
      </c>
    </row>
    <row r="46" spans="1:7" ht="24.95" customHeight="1">
      <c r="A46" s="5" t="str">
        <f t="array" ref="A46">LEFT(F46, MIN(FIND({0,1,2,3,4,5,6,7,8,9}, F46 &amp; "0123456789")) - 1)</f>
        <v>M</v>
      </c>
      <c r="B46" s="1">
        <f t="shared" si="0"/>
        <v>2.6</v>
      </c>
      <c r="C46" s="1"/>
      <c r="D46" s="1">
        <f t="shared" si="1"/>
        <v>16</v>
      </c>
      <c r="E46" s="8" t="s">
        <v>974</v>
      </c>
      <c r="F46" s="7" t="s">
        <v>161</v>
      </c>
      <c r="G46" s="25" t="s">
        <v>975</v>
      </c>
    </row>
    <row r="47" spans="1:7" ht="24.95" customHeight="1">
      <c r="A47" s="5" t="str">
        <f t="array" ref="A47">LEFT(F47, MIN(FIND({0,1,2,3,4,5,6,7,8,9}, F47 &amp; "0123456789")) - 1)</f>
        <v>M</v>
      </c>
      <c r="B47" s="1">
        <f t="shared" si="0"/>
        <v>2.7</v>
      </c>
      <c r="C47" s="1"/>
      <c r="D47" s="1">
        <f t="shared" si="1"/>
        <v>16</v>
      </c>
      <c r="E47" s="5" t="s">
        <v>976</v>
      </c>
      <c r="F47" s="7" t="s">
        <v>165</v>
      </c>
      <c r="G47" s="25" t="s">
        <v>977</v>
      </c>
    </row>
    <row r="48" spans="1:7" ht="24.95" customHeight="1">
      <c r="A48" s="5" t="str">
        <f t="array" ref="A48">LEFT(F48, MIN(FIND({0,1,2,3,4,5,6,7,8,9}, F48 &amp; "0123456789")) - 1)</f>
        <v>M</v>
      </c>
      <c r="B48" s="1">
        <f t="shared" si="0"/>
        <v>3</v>
      </c>
      <c r="C48" s="1"/>
      <c r="D48" s="1">
        <f t="shared" si="1"/>
        <v>16</v>
      </c>
      <c r="E48" s="8" t="s">
        <v>1258</v>
      </c>
      <c r="F48" s="1" t="s">
        <v>743</v>
      </c>
      <c r="G48" s="25" t="s">
        <v>1089</v>
      </c>
    </row>
    <row r="49" spans="1:7" ht="24.95" customHeight="1">
      <c r="A49" s="5" t="str">
        <f t="array" ref="A49">LEFT(F49, MIN(FIND({0,1,2,3,4,5,6,7,8,9}, F49 &amp; "0123456789")) - 1)</f>
        <v>M</v>
      </c>
      <c r="B49" s="1">
        <f t="shared" si="0"/>
        <v>3.1</v>
      </c>
      <c r="C49" s="1"/>
      <c r="D49" s="1">
        <f t="shared" si="1"/>
        <v>20</v>
      </c>
      <c r="E49" s="1" t="s">
        <v>1090</v>
      </c>
      <c r="F49" s="1" t="s">
        <v>169</v>
      </c>
      <c r="G49" s="25" t="s">
        <v>1342</v>
      </c>
    </row>
    <row r="50" spans="1:7" ht="24.95" customHeight="1">
      <c r="A50" s="5" t="str">
        <f t="array" ref="A50">LEFT(F50, MIN(FIND({0,1,2,3,4,5,6,7,8,9}, F50 &amp; "0123456789")) - 1)</f>
        <v>M</v>
      </c>
      <c r="B50" s="1">
        <f t="shared" si="0"/>
        <v>3.4</v>
      </c>
      <c r="C50" s="1"/>
      <c r="D50" s="1">
        <f t="shared" si="1"/>
        <v>15</v>
      </c>
      <c r="E50" s="8" t="s">
        <v>1093</v>
      </c>
      <c r="F50" s="1" t="s">
        <v>183</v>
      </c>
      <c r="G50" s="25" t="s">
        <v>1094</v>
      </c>
    </row>
    <row r="51" spans="1:7" ht="24.95" customHeight="1">
      <c r="A51" s="5" t="str">
        <f t="array" ref="A51">LEFT(F51, MIN(FIND({0,1,2,3,4,5,6,7,8,9}, F51 &amp; "0123456789")) - 1)</f>
        <v>M</v>
      </c>
      <c r="B51" s="1">
        <f t="shared" si="0"/>
        <v>3.5</v>
      </c>
      <c r="C51" s="1"/>
      <c r="D51" s="1">
        <f t="shared" si="1"/>
        <v>18</v>
      </c>
      <c r="E51" s="1" t="s">
        <v>1095</v>
      </c>
      <c r="F51" s="1" t="s">
        <v>188</v>
      </c>
      <c r="G51" s="25" t="s">
        <v>1096</v>
      </c>
    </row>
    <row r="52" spans="1:7" ht="24.95" customHeight="1">
      <c r="A52" s="5" t="str">
        <f t="array" ref="A52">LEFT(F52, MIN(FIND({0,1,2,3,4,5,6,7,8,9}, F52 &amp; "0123456789")) - 1)</f>
        <v>M</v>
      </c>
      <c r="B52" s="1">
        <f t="shared" si="0"/>
        <v>3.7</v>
      </c>
      <c r="C52" s="1"/>
      <c r="D52" s="1">
        <f t="shared" si="1"/>
        <v>14</v>
      </c>
      <c r="E52" s="1" t="s">
        <v>1409</v>
      </c>
      <c r="F52" s="1" t="s">
        <v>197</v>
      </c>
      <c r="G52" s="25" t="s">
        <v>1410</v>
      </c>
    </row>
    <row r="53" spans="1:7" ht="24.95" customHeight="1">
      <c r="A53" s="5" t="str">
        <f t="array" ref="A53">LEFT(F53, MIN(FIND({0,1,2,3,4,5,6,7,8,9}, F53 &amp; "0123456789")) - 1)</f>
        <v>M</v>
      </c>
      <c r="B53" s="1">
        <f t="shared" si="0"/>
        <v>4</v>
      </c>
      <c r="C53" s="1"/>
      <c r="D53" s="1">
        <f t="shared" si="1"/>
        <v>16</v>
      </c>
      <c r="E53" s="1" t="s">
        <v>1524</v>
      </c>
      <c r="F53" s="1" t="s">
        <v>749</v>
      </c>
      <c r="G53" s="25" t="s">
        <v>1525</v>
      </c>
    </row>
    <row r="54" spans="1:7" ht="24.95" customHeight="1">
      <c r="A54" s="5" t="str">
        <f t="array" ref="A54">LEFT(F54, MIN(FIND({0,1,2,3,4,5,6,7,8,9}, F54 &amp; "0123456789")) - 1)</f>
        <v>M</v>
      </c>
      <c r="B54" s="1">
        <f t="shared" si="0"/>
        <v>4.0999999999999996</v>
      </c>
      <c r="C54" s="1"/>
      <c r="D54" s="1">
        <f t="shared" si="1"/>
        <v>23</v>
      </c>
      <c r="E54" s="1" t="s">
        <v>1411</v>
      </c>
      <c r="F54" s="1" t="s">
        <v>203</v>
      </c>
      <c r="G54" s="25" t="s">
        <v>1412</v>
      </c>
    </row>
    <row r="55" spans="1:7" ht="24.95" customHeight="1">
      <c r="A55" s="5" t="str">
        <f t="array" ref="A55">LEFT(F55, MIN(FIND({0,1,2,3,4,5,6,7,8,9}, F55 &amp; "0123456789")) - 1)</f>
        <v>M</v>
      </c>
      <c r="B55" s="1">
        <f t="shared" si="0"/>
        <v>4.2</v>
      </c>
      <c r="C55" s="1"/>
      <c r="D55" s="1">
        <f t="shared" si="1"/>
        <v>21</v>
      </c>
      <c r="E55" s="1" t="s">
        <v>1526</v>
      </c>
      <c r="F55" s="1" t="s">
        <v>207</v>
      </c>
      <c r="G55" s="25" t="s">
        <v>1527</v>
      </c>
    </row>
    <row r="56" spans="1:7" ht="24.95" customHeight="1">
      <c r="A56" s="5" t="str">
        <f t="array" ref="A56">LEFT(F56, MIN(FIND({0,1,2,3,4,5,6,7,8,9}, F56 &amp; "0123456789")) - 1)</f>
        <v>M</v>
      </c>
      <c r="B56" s="1">
        <f t="shared" si="0"/>
        <v>4.3</v>
      </c>
      <c r="C56" s="1"/>
      <c r="D56" s="1">
        <f t="shared" si="1"/>
        <v>15</v>
      </c>
      <c r="E56" s="1" t="s">
        <v>1528</v>
      </c>
      <c r="F56" s="1" t="s">
        <v>211</v>
      </c>
      <c r="G56" s="25" t="s">
        <v>1529</v>
      </c>
    </row>
    <row r="57" spans="1:7" ht="24.95" customHeight="1">
      <c r="A57" s="5" t="str">
        <f t="array" ref="A57">LEFT(F57, MIN(FIND({0,1,2,3,4,5,6,7,8,9}, F57 &amp; "0123456789")) - 1)</f>
        <v>M</v>
      </c>
      <c r="B57" s="1">
        <f t="shared" si="0"/>
        <v>4.4000000000000004</v>
      </c>
      <c r="C57" s="1"/>
      <c r="D57" s="1">
        <f t="shared" si="1"/>
        <v>16</v>
      </c>
      <c r="E57" s="5" t="s">
        <v>1530</v>
      </c>
      <c r="F57" s="1" t="s">
        <v>215</v>
      </c>
      <c r="G57" s="25" t="s">
        <v>1531</v>
      </c>
    </row>
    <row r="58" spans="1:7" ht="24.95" customHeight="1">
      <c r="A58" s="5" t="str">
        <f t="array" ref="A58">LEFT(F58, MIN(FIND({0,1,2,3,4,5,6,7,8,9}, F58 &amp; "0123456789")) - 1)</f>
        <v>M</v>
      </c>
      <c r="B58" s="1">
        <f t="shared" si="0"/>
        <v>4.5</v>
      </c>
      <c r="C58" s="1"/>
      <c r="D58" s="1">
        <f t="shared" si="1"/>
        <v>21</v>
      </c>
      <c r="E58" s="8" t="s">
        <v>1532</v>
      </c>
      <c r="F58" s="1" t="s">
        <v>219</v>
      </c>
      <c r="G58" s="25" t="s">
        <v>1533</v>
      </c>
    </row>
    <row r="59" spans="1:7" ht="24.95" customHeight="1">
      <c r="A59" s="5" t="str">
        <f t="array" ref="A59">LEFT(F59, MIN(FIND({0,1,2,3,4,5,6,7,8,9}, F59 &amp; "0123456789")) - 1)</f>
        <v>M</v>
      </c>
      <c r="B59" s="1">
        <f t="shared" si="0"/>
        <v>10</v>
      </c>
      <c r="C59" s="1"/>
      <c r="D59" s="1">
        <f t="shared" si="1"/>
        <v>15</v>
      </c>
      <c r="E59" s="38" t="s">
        <v>735</v>
      </c>
      <c r="F59" s="1" t="s">
        <v>1097</v>
      </c>
      <c r="G59" s="25" t="s">
        <v>737</v>
      </c>
    </row>
    <row r="60" spans="1:7" ht="24.95" customHeight="1">
      <c r="A60" s="5" t="str">
        <f t="array" ref="A60">LEFT(F60, MIN(FIND({0,1,2,3,4,5,6,7,8,9}, F60 &amp; "0123456789")) - 1)</f>
        <v>M</v>
      </c>
      <c r="B60" s="1">
        <f t="shared" si="0"/>
        <v>10.1</v>
      </c>
      <c r="C60" s="1"/>
      <c r="D60" s="1">
        <f t="shared" si="1"/>
        <v>14</v>
      </c>
      <c r="E60" s="38" t="s">
        <v>738</v>
      </c>
      <c r="F60" s="1" t="s">
        <v>356</v>
      </c>
      <c r="G60" s="25" t="s">
        <v>739</v>
      </c>
    </row>
    <row r="61" spans="1:7" ht="24.95" customHeight="1">
      <c r="A61" s="5" t="str">
        <f t="array" ref="A61">LEFT(F61, MIN(FIND({0,1,2,3,4,5,6,7,8,9}, F61 &amp; "0123456789")) - 1)</f>
        <v>M</v>
      </c>
      <c r="B61" s="1">
        <f t="shared" si="0"/>
        <v>10.199999999999999</v>
      </c>
      <c r="C61" s="1"/>
      <c r="D61" s="1">
        <f t="shared" si="1"/>
        <v>15</v>
      </c>
      <c r="E61" s="38" t="s">
        <v>740</v>
      </c>
      <c r="F61" s="1" t="s">
        <v>360</v>
      </c>
      <c r="G61" s="25" t="s">
        <v>741</v>
      </c>
    </row>
    <row r="62" spans="1:7" ht="24.95" customHeight="1">
      <c r="A62" s="5" t="str">
        <f t="array" ref="A62">LEFT(F62, MIN(FIND({0,1,2,3,4,5,6,7,8,9}, F62 &amp; "0123456789")) - 1)</f>
        <v>M</v>
      </c>
      <c r="B62" s="1">
        <f t="shared" si="0"/>
        <v>10.3</v>
      </c>
      <c r="C62" s="1"/>
      <c r="D62" s="1">
        <f t="shared" si="1"/>
        <v>16</v>
      </c>
      <c r="E62" s="1" t="s">
        <v>742</v>
      </c>
      <c r="F62" s="1" t="s">
        <v>362</v>
      </c>
      <c r="G62" s="25" t="s">
        <v>744</v>
      </c>
    </row>
    <row r="63" spans="1:7" ht="24.95" customHeight="1">
      <c r="A63" s="5" t="str">
        <f t="array" ref="A63">LEFT(F63, MIN(FIND({0,1,2,3,4,5,6,7,8,9}, F63 &amp; "0123456789")) - 1)</f>
        <v>M</v>
      </c>
      <c r="B63" s="1">
        <f t="shared" si="0"/>
        <v>10.4</v>
      </c>
      <c r="C63" s="1"/>
      <c r="D63" s="1">
        <f t="shared" si="1"/>
        <v>15</v>
      </c>
      <c r="E63" s="1" t="s">
        <v>745</v>
      </c>
      <c r="F63" s="1" t="s">
        <v>364</v>
      </c>
      <c r="G63" s="25" t="s">
        <v>746</v>
      </c>
    </row>
    <row r="64" spans="1:7" ht="24.95" customHeight="1">
      <c r="A64" s="5" t="str">
        <f t="array" ref="A64">LEFT(F64, MIN(FIND({0,1,2,3,4,5,6,7,8,9}, F64 &amp; "0123456789")) - 1)</f>
        <v>M</v>
      </c>
      <c r="B64" s="1">
        <f t="shared" si="0"/>
        <v>10.5</v>
      </c>
      <c r="C64" s="1"/>
      <c r="D64" s="1">
        <f t="shared" si="1"/>
        <v>16</v>
      </c>
      <c r="E64" s="8" t="s">
        <v>747</v>
      </c>
      <c r="F64" s="7" t="s">
        <v>366</v>
      </c>
      <c r="G64" s="25" t="s">
        <v>748</v>
      </c>
    </row>
    <row r="65" spans="1:7" ht="24.95" customHeight="1">
      <c r="A65" s="5" t="str">
        <f t="array" ref="A65">LEFT(F65, MIN(FIND({0,1,2,3,4,5,6,7,8,9}, F65 &amp; "0123456789")) - 1)</f>
        <v>M</v>
      </c>
      <c r="B65" s="1">
        <f t="shared" si="0"/>
        <v>10.6</v>
      </c>
      <c r="C65" s="1"/>
      <c r="D65" s="1">
        <f t="shared" si="1"/>
        <v>17</v>
      </c>
      <c r="E65" s="1" t="s">
        <v>1098</v>
      </c>
      <c r="F65" s="7" t="s">
        <v>368</v>
      </c>
      <c r="G65" s="25" t="s">
        <v>794</v>
      </c>
    </row>
    <row r="66" spans="1:7" ht="24.95" customHeight="1">
      <c r="A66" s="5" t="str">
        <f t="array" ref="A66">LEFT(F66, MIN(FIND({0,1,2,3,4,5,6,7,8,9}, F66 &amp; "0123456789")) - 1)</f>
        <v>M</v>
      </c>
      <c r="B66" s="1">
        <f t="shared" ref="B66:B129" si="2">VALUE(RIGHT(F66,LEN(F66)-LEN(A66)))</f>
        <v>10.7</v>
      </c>
      <c r="C66" s="1"/>
      <c r="D66" s="1">
        <f t="shared" ref="D66:D129" si="3">LEN(E66)</f>
        <v>19</v>
      </c>
      <c r="E66" s="8" t="s">
        <v>1099</v>
      </c>
      <c r="F66" s="1" t="s">
        <v>370</v>
      </c>
      <c r="G66" s="25" t="s">
        <v>795</v>
      </c>
    </row>
    <row r="67" spans="1:7" ht="24.95" customHeight="1">
      <c r="A67" s="5" t="str">
        <f t="array" ref="A67">LEFT(F67, MIN(FIND({0,1,2,3,4,5,6,7,8,9}, F67 &amp; "0123456789")) - 1)</f>
        <v>M</v>
      </c>
      <c r="B67" s="1">
        <f t="shared" si="2"/>
        <v>11</v>
      </c>
      <c r="C67" s="1"/>
      <c r="D67" s="1">
        <f t="shared" si="3"/>
        <v>15</v>
      </c>
      <c r="E67" s="1" t="s">
        <v>1100</v>
      </c>
      <c r="F67" s="1" t="s">
        <v>1101</v>
      </c>
      <c r="G67" s="25" t="s">
        <v>937</v>
      </c>
    </row>
    <row r="68" spans="1:7" ht="24.95" customHeight="1">
      <c r="A68" s="5" t="str">
        <f t="array" ref="A68">LEFT(F68, MIN(FIND({0,1,2,3,4,5,6,7,8,9}, F68 &amp; "0123456789")) - 1)</f>
        <v>M</v>
      </c>
      <c r="B68" s="1">
        <f t="shared" si="2"/>
        <v>11.1</v>
      </c>
      <c r="C68" s="1"/>
      <c r="D68" s="1">
        <f t="shared" si="3"/>
        <v>19</v>
      </c>
      <c r="E68" s="1" t="s">
        <v>1102</v>
      </c>
      <c r="F68" s="1" t="s">
        <v>373</v>
      </c>
      <c r="G68" s="25" t="s">
        <v>1103</v>
      </c>
    </row>
    <row r="69" spans="1:7" ht="24.95" customHeight="1">
      <c r="A69" s="5" t="str">
        <f t="array" ref="A69">LEFT(F69, MIN(FIND({0,1,2,3,4,5,6,7,8,9}, F69 &amp; "0123456789")) - 1)</f>
        <v>M</v>
      </c>
      <c r="B69" s="1">
        <f t="shared" si="2"/>
        <v>11.2</v>
      </c>
      <c r="C69" s="1"/>
      <c r="D69" s="1">
        <f t="shared" si="3"/>
        <v>14</v>
      </c>
      <c r="E69" s="38" t="s">
        <v>1534</v>
      </c>
      <c r="F69" s="5" t="s">
        <v>375</v>
      </c>
      <c r="G69" s="33" t="s">
        <v>1104</v>
      </c>
    </row>
    <row r="70" spans="1:7" ht="24.95" customHeight="1">
      <c r="A70" s="5" t="str">
        <f t="array" ref="A70">LEFT(F70, MIN(FIND({0,1,2,3,4,5,6,7,8,9}, F70 &amp; "0123456789")) - 1)</f>
        <v>M</v>
      </c>
      <c r="B70" s="1">
        <f t="shared" si="2"/>
        <v>11.3</v>
      </c>
      <c r="C70" s="1"/>
      <c r="D70" s="1">
        <f t="shared" si="3"/>
        <v>22</v>
      </c>
      <c r="E70" s="1" t="s">
        <v>1105</v>
      </c>
      <c r="F70" s="1" t="s">
        <v>377</v>
      </c>
      <c r="G70" s="33" t="s">
        <v>1106</v>
      </c>
    </row>
    <row r="71" spans="1:7" ht="24.95" customHeight="1">
      <c r="A71" s="5" t="str">
        <f t="array" ref="A71">LEFT(F71, MIN(FIND({0,1,2,3,4,5,6,7,8,9}, F71 &amp; "0123456789")) - 1)</f>
        <v>M</v>
      </c>
      <c r="B71" s="1">
        <f t="shared" si="2"/>
        <v>11.4</v>
      </c>
      <c r="C71" s="1"/>
      <c r="D71" s="1">
        <f t="shared" si="3"/>
        <v>17</v>
      </c>
      <c r="E71" s="1" t="s">
        <v>1535</v>
      </c>
      <c r="F71" s="1" t="s">
        <v>379</v>
      </c>
      <c r="G71" s="33" t="s">
        <v>1107</v>
      </c>
    </row>
    <row r="72" spans="1:7" ht="24.95" customHeight="1">
      <c r="A72" s="5" t="str">
        <f t="array" ref="A72">LEFT(F72, MIN(FIND({0,1,2,3,4,5,6,7,8,9}, F72 &amp; "0123456789")) - 1)</f>
        <v>M</v>
      </c>
      <c r="B72" s="1">
        <f t="shared" si="2"/>
        <v>11.5</v>
      </c>
      <c r="C72" s="1"/>
      <c r="D72" s="1">
        <f t="shared" si="3"/>
        <v>17</v>
      </c>
      <c r="E72" s="1" t="s">
        <v>1413</v>
      </c>
      <c r="F72" s="1" t="s">
        <v>381</v>
      </c>
      <c r="G72" s="33" t="s">
        <v>1414</v>
      </c>
    </row>
    <row r="73" spans="1:7" ht="24.95" customHeight="1">
      <c r="A73" s="5" t="str">
        <f t="array" ref="A73">LEFT(F73, MIN(FIND({0,1,2,3,4,5,6,7,8,9}, F73 &amp; "0123456789")) - 1)</f>
        <v>M</v>
      </c>
      <c r="B73" s="1">
        <f t="shared" si="2"/>
        <v>11.6</v>
      </c>
      <c r="C73" s="1"/>
      <c r="D73" s="1">
        <f t="shared" si="3"/>
        <v>19</v>
      </c>
      <c r="E73" s="1" t="s">
        <v>1415</v>
      </c>
      <c r="F73" s="1" t="s">
        <v>383</v>
      </c>
      <c r="G73" s="33" t="s">
        <v>1416</v>
      </c>
    </row>
    <row r="74" spans="1:7" ht="24.95" customHeight="1">
      <c r="A74" s="5" t="str">
        <f t="array" ref="A74">LEFT(F74, MIN(FIND({0,1,2,3,4,5,6,7,8,9}, F74 &amp; "0123456789")) - 1)</f>
        <v>M</v>
      </c>
      <c r="B74" s="1">
        <f t="shared" si="2"/>
        <v>11.7</v>
      </c>
      <c r="C74" s="1"/>
      <c r="D74" s="1">
        <f t="shared" si="3"/>
        <v>16</v>
      </c>
      <c r="E74" s="1" t="s">
        <v>1417</v>
      </c>
      <c r="F74" s="1" t="s">
        <v>385</v>
      </c>
      <c r="G74" s="33" t="s">
        <v>1418</v>
      </c>
    </row>
    <row r="75" spans="1:7" ht="24.95" customHeight="1">
      <c r="A75" s="5" t="str">
        <f t="array" ref="A75">LEFT(F75, MIN(FIND({0,1,2,3,4,5,6,7,8,9}, F75 &amp; "0123456789")) - 1)</f>
        <v>M</v>
      </c>
      <c r="B75" s="1">
        <f t="shared" si="2"/>
        <v>12</v>
      </c>
      <c r="C75" s="1"/>
      <c r="D75" s="1">
        <f t="shared" si="3"/>
        <v>18</v>
      </c>
      <c r="E75" s="1" t="s">
        <v>1419</v>
      </c>
      <c r="F75" s="1" t="s">
        <v>1420</v>
      </c>
      <c r="G75" s="33" t="s">
        <v>1421</v>
      </c>
    </row>
    <row r="76" spans="1:7" ht="24.95" customHeight="1">
      <c r="A76" s="5" t="str">
        <f t="array" ref="A76">LEFT(F76, MIN(FIND({0,1,2,3,4,5,6,7,8,9}, F76 &amp; "0123456789")) - 1)</f>
        <v>M</v>
      </c>
      <c r="B76" s="1">
        <f t="shared" si="2"/>
        <v>12.1</v>
      </c>
      <c r="C76" s="1"/>
      <c r="D76" s="1">
        <f t="shared" si="3"/>
        <v>16</v>
      </c>
      <c r="E76" s="6" t="s">
        <v>1422</v>
      </c>
      <c r="F76" s="7" t="s">
        <v>387</v>
      </c>
      <c r="G76" s="33" t="s">
        <v>1423</v>
      </c>
    </row>
    <row r="77" spans="1:7" ht="24.95" customHeight="1">
      <c r="A77" s="5" t="str">
        <f t="array" ref="A77">LEFT(F77, MIN(FIND({0,1,2,3,4,5,6,7,8,9}, F77 &amp; "0123456789")) - 1)</f>
        <v>M</v>
      </c>
      <c r="B77" s="1">
        <f t="shared" si="2"/>
        <v>12.2</v>
      </c>
      <c r="C77" s="1"/>
      <c r="D77" s="1">
        <f t="shared" si="3"/>
        <v>18</v>
      </c>
      <c r="E77" s="1" t="s">
        <v>1424</v>
      </c>
      <c r="F77" s="7" t="s">
        <v>389</v>
      </c>
      <c r="G77" s="33" t="s">
        <v>1425</v>
      </c>
    </row>
    <row r="78" spans="1:7" ht="24.95" customHeight="1">
      <c r="A78" s="5" t="str">
        <f t="array" ref="A78">LEFT(F78, MIN(FIND({0,1,2,3,4,5,6,7,8,9}, F78 &amp; "0123456789")) - 1)</f>
        <v>M</v>
      </c>
      <c r="B78" s="1">
        <f t="shared" si="2"/>
        <v>12.3</v>
      </c>
      <c r="C78" s="1"/>
      <c r="D78" s="1">
        <f t="shared" si="3"/>
        <v>20</v>
      </c>
      <c r="E78" s="1" t="s">
        <v>1536</v>
      </c>
      <c r="F78" s="1" t="s">
        <v>390</v>
      </c>
      <c r="G78" s="33" t="s">
        <v>1537</v>
      </c>
    </row>
    <row r="79" spans="1:7" ht="24.95" customHeight="1">
      <c r="A79" s="5" t="str">
        <f t="array" ref="A79">LEFT(F79, MIN(FIND({0,1,2,3,4,5,6,7,8,9}, F79 &amp; "0123456789")) - 1)</f>
        <v>M</v>
      </c>
      <c r="B79" s="1">
        <f t="shared" si="2"/>
        <v>20.6</v>
      </c>
      <c r="C79" s="1"/>
      <c r="D79" s="1">
        <f t="shared" si="3"/>
        <v>15</v>
      </c>
      <c r="E79" s="38" t="s">
        <v>956</v>
      </c>
      <c r="F79" s="1" t="s">
        <v>1115</v>
      </c>
      <c r="G79" s="25" t="s">
        <v>957</v>
      </c>
    </row>
    <row r="80" spans="1:7" ht="24.95" customHeight="1">
      <c r="A80" s="5" t="str">
        <f t="array" ref="A80">LEFT(F80, MIN(FIND({0,1,2,3,4,5,6,7,8,9}, F80 &amp; "0123456789")) - 1)</f>
        <v>M</v>
      </c>
      <c r="B80" s="1">
        <f t="shared" si="2"/>
        <v>20.7</v>
      </c>
      <c r="C80" s="1"/>
      <c r="D80" s="1">
        <f t="shared" si="3"/>
        <v>21</v>
      </c>
      <c r="E80" s="1" t="s">
        <v>1426</v>
      </c>
      <c r="F80" s="1" t="s">
        <v>1116</v>
      </c>
      <c r="G80" s="40" t="s">
        <v>1091</v>
      </c>
    </row>
    <row r="81" spans="1:7" ht="24.95" customHeight="1">
      <c r="A81" s="5" t="str">
        <f t="array" ref="A81">LEFT(F81, MIN(FIND({0,1,2,3,4,5,6,7,8,9}, F81 &amp; "0123456789")) - 1)</f>
        <v>M</v>
      </c>
      <c r="B81" s="1">
        <f t="shared" si="2"/>
        <v>21</v>
      </c>
      <c r="C81" s="1"/>
      <c r="D81" s="1">
        <f t="shared" si="3"/>
        <v>21</v>
      </c>
      <c r="E81" s="38" t="s">
        <v>1428</v>
      </c>
      <c r="F81" s="1" t="s">
        <v>1427</v>
      </c>
      <c r="G81" s="40" t="s">
        <v>1092</v>
      </c>
    </row>
    <row r="82" spans="1:7" ht="24.95" customHeight="1">
      <c r="A82" s="5" t="str">
        <f t="array" ref="A82">LEFT(F82, MIN(FIND({0,1,2,3,4,5,6,7,8,9}, F82 &amp; "0123456789")) - 1)</f>
        <v>M</v>
      </c>
      <c r="B82" s="1">
        <f t="shared" si="2"/>
        <v>21.1</v>
      </c>
      <c r="C82" s="1"/>
      <c r="D82" s="1">
        <f t="shared" si="3"/>
        <v>15</v>
      </c>
      <c r="E82" s="1" t="s">
        <v>1264</v>
      </c>
      <c r="F82" s="1" t="s">
        <v>1429</v>
      </c>
      <c r="G82" s="25" t="s">
        <v>954</v>
      </c>
    </row>
    <row r="83" spans="1:7" ht="24.95" customHeight="1">
      <c r="A83" s="5" t="str">
        <f t="array" ref="A83">LEFT(F83, MIN(FIND({0,1,2,3,4,5,6,7,8,9}, F83 &amp; "0123456789")) - 1)</f>
        <v>M</v>
      </c>
      <c r="B83" s="1">
        <f t="shared" si="2"/>
        <v>21.2</v>
      </c>
      <c r="C83" s="1"/>
      <c r="D83" s="1">
        <f t="shared" si="3"/>
        <v>15</v>
      </c>
      <c r="E83" s="1" t="s">
        <v>1265</v>
      </c>
      <c r="F83" s="1" t="s">
        <v>1430</v>
      </c>
      <c r="G83" s="25" t="s">
        <v>955</v>
      </c>
    </row>
    <row r="84" spans="1:7" ht="24.95" customHeight="1">
      <c r="A84" s="5" t="str">
        <f t="array" ref="A84">LEFT(F84, MIN(FIND({0,1,2,3,4,5,6,7,8,9}, F84 &amp; "0123456789")) - 1)</f>
        <v>T</v>
      </c>
      <c r="B84" s="1">
        <f t="shared" si="2"/>
        <v>101</v>
      </c>
      <c r="C84" s="1"/>
      <c r="D84" s="1">
        <f t="shared" si="3"/>
        <v>16</v>
      </c>
      <c r="E84" s="1" t="s">
        <v>753</v>
      </c>
      <c r="F84" s="1" t="s">
        <v>21</v>
      </c>
      <c r="G84" s="25" t="s">
        <v>754</v>
      </c>
    </row>
    <row r="85" spans="1:7" ht="24.95" customHeight="1">
      <c r="A85" s="5" t="str">
        <f t="array" ref="A85">LEFT(F85, MIN(FIND({0,1,2,3,4,5,6,7,8,9}, F85 &amp; "0123456789")) - 1)</f>
        <v>T</v>
      </c>
      <c r="B85" s="1">
        <f t="shared" si="2"/>
        <v>102</v>
      </c>
      <c r="C85" s="1"/>
      <c r="D85" s="1">
        <f t="shared" si="3"/>
        <v>14</v>
      </c>
      <c r="E85" s="1" t="s">
        <v>755</v>
      </c>
      <c r="F85" s="1" t="s">
        <v>40</v>
      </c>
      <c r="G85" s="25" t="s">
        <v>1539</v>
      </c>
    </row>
    <row r="86" spans="1:7" ht="24.95" customHeight="1">
      <c r="A86" s="5" t="str">
        <f t="array" ref="A86">LEFT(F86, MIN(FIND({0,1,2,3,4,5,6,7,8,9}, F86 &amp; "0123456789")) - 1)</f>
        <v>T</v>
      </c>
      <c r="B86" s="1">
        <f t="shared" si="2"/>
        <v>103</v>
      </c>
      <c r="C86" s="1"/>
      <c r="D86" s="1">
        <f t="shared" si="3"/>
        <v>16</v>
      </c>
      <c r="E86" s="1" t="s">
        <v>1431</v>
      </c>
      <c r="F86" s="1" t="s">
        <v>54</v>
      </c>
      <c r="G86" s="25" t="s">
        <v>1432</v>
      </c>
    </row>
    <row r="87" spans="1:7" ht="24.95" customHeight="1">
      <c r="A87" s="5" t="str">
        <f t="array" ref="A87">LEFT(F87, MIN(FIND({0,1,2,3,4,5,6,7,8,9}, F87 &amp; "0123456789")) - 1)</f>
        <v>T</v>
      </c>
      <c r="B87" s="1">
        <f t="shared" si="2"/>
        <v>104</v>
      </c>
      <c r="C87" s="1"/>
      <c r="D87" s="1">
        <f t="shared" si="3"/>
        <v>18</v>
      </c>
      <c r="E87" s="1" t="s">
        <v>1280</v>
      </c>
      <c r="F87" s="1" t="s">
        <v>64</v>
      </c>
      <c r="G87" s="25" t="s">
        <v>1281</v>
      </c>
    </row>
    <row r="88" spans="1:7" ht="24.95" customHeight="1">
      <c r="A88" s="5" t="str">
        <f t="array" ref="A88">LEFT(F88, MIN(FIND({0,1,2,3,4,5,6,7,8,9}, F88 &amp; "0123456789")) - 1)</f>
        <v>T</v>
      </c>
      <c r="B88" s="1">
        <f t="shared" si="2"/>
        <v>105</v>
      </c>
      <c r="C88" s="1"/>
      <c r="D88" s="1">
        <f t="shared" si="3"/>
        <v>16</v>
      </c>
      <c r="E88" s="1" t="s">
        <v>756</v>
      </c>
      <c r="F88" s="1" t="s">
        <v>73</v>
      </c>
      <c r="G88" s="25" t="s">
        <v>757</v>
      </c>
    </row>
    <row r="89" spans="1:7" ht="24.95" customHeight="1">
      <c r="A89" s="5" t="str">
        <f t="array" ref="A89">LEFT(F89, MIN(FIND({0,1,2,3,4,5,6,7,8,9}, F89 &amp; "0123456789")) - 1)</f>
        <v>T</v>
      </c>
      <c r="B89" s="1">
        <f t="shared" si="2"/>
        <v>106</v>
      </c>
      <c r="C89" s="1"/>
      <c r="D89" s="1">
        <f t="shared" si="3"/>
        <v>15</v>
      </c>
      <c r="E89" s="6" t="s">
        <v>1236</v>
      </c>
      <c r="F89" s="1" t="s">
        <v>84</v>
      </c>
      <c r="G89" s="25" t="s">
        <v>1237</v>
      </c>
    </row>
    <row r="90" spans="1:7" ht="24.95" customHeight="1">
      <c r="A90" s="5" t="str">
        <f t="array" ref="A90">LEFT(F90, MIN(FIND({0,1,2,3,4,5,6,7,8,9}, F90 &amp; "0123456789")) - 1)</f>
        <v>T</v>
      </c>
      <c r="B90" s="1">
        <f t="shared" si="2"/>
        <v>107</v>
      </c>
      <c r="C90" s="1"/>
      <c r="D90" s="1">
        <f t="shared" si="3"/>
        <v>20</v>
      </c>
      <c r="E90" s="1" t="s">
        <v>1266</v>
      </c>
      <c r="F90" s="1" t="s">
        <v>93</v>
      </c>
      <c r="G90" s="25" t="s">
        <v>758</v>
      </c>
    </row>
    <row r="91" spans="1:7" ht="24.95" customHeight="1">
      <c r="A91" s="5" t="str">
        <f t="array" ref="A91">LEFT(F91, MIN(FIND({0,1,2,3,4,5,6,7,8,9}, F91 &amp; "0123456789")) - 1)</f>
        <v>T</v>
      </c>
      <c r="B91" s="1">
        <f t="shared" si="2"/>
        <v>110</v>
      </c>
      <c r="C91" s="1"/>
      <c r="D91" s="1">
        <f t="shared" si="3"/>
        <v>18</v>
      </c>
      <c r="E91" s="1" t="s">
        <v>759</v>
      </c>
      <c r="F91" s="1" t="s">
        <v>114</v>
      </c>
      <c r="G91" s="25" t="s">
        <v>760</v>
      </c>
    </row>
    <row r="92" spans="1:7" ht="24.95" customHeight="1">
      <c r="A92" s="5" t="str">
        <f t="array" ref="A92">LEFT(F92, MIN(FIND({0,1,2,3,4,5,6,7,8,9}, F92 &amp; "0123456789")) - 1)</f>
        <v>T</v>
      </c>
      <c r="B92" s="1">
        <f t="shared" si="2"/>
        <v>111</v>
      </c>
      <c r="C92" s="1"/>
      <c r="D92" s="1">
        <f t="shared" si="3"/>
        <v>18</v>
      </c>
      <c r="E92" s="1" t="s">
        <v>761</v>
      </c>
      <c r="F92" s="1" t="s">
        <v>120</v>
      </c>
      <c r="G92" s="25" t="s">
        <v>762</v>
      </c>
    </row>
    <row r="93" spans="1:7" ht="24.95" customHeight="1">
      <c r="A93" s="5" t="str">
        <f t="array" ref="A93">LEFT(F93, MIN(FIND({0,1,2,3,4,5,6,7,8,9}, F93 &amp; "0123456789")) - 1)</f>
        <v>T</v>
      </c>
      <c r="B93" s="1">
        <f t="shared" si="2"/>
        <v>112</v>
      </c>
      <c r="C93" s="1"/>
      <c r="D93" s="1">
        <f t="shared" si="3"/>
        <v>18</v>
      </c>
      <c r="E93" s="6" t="s">
        <v>763</v>
      </c>
      <c r="F93" s="7" t="s">
        <v>124</v>
      </c>
      <c r="G93" s="25" t="s">
        <v>764</v>
      </c>
    </row>
    <row r="94" spans="1:7" ht="24.95" customHeight="1">
      <c r="A94" s="5" t="str">
        <f t="array" ref="A94">LEFT(F94, MIN(FIND({0,1,2,3,4,5,6,7,8,9}, F94 &amp; "0123456789")) - 1)</f>
        <v>T</v>
      </c>
      <c r="B94" s="1">
        <f t="shared" si="2"/>
        <v>113</v>
      </c>
      <c r="C94" s="1"/>
      <c r="D94" s="1">
        <f t="shared" si="3"/>
        <v>18</v>
      </c>
      <c r="E94" s="1" t="s">
        <v>765</v>
      </c>
      <c r="F94" s="1" t="s">
        <v>129</v>
      </c>
      <c r="G94" s="25" t="s">
        <v>766</v>
      </c>
    </row>
    <row r="95" spans="1:7" ht="24.95" customHeight="1">
      <c r="A95" s="5" t="str">
        <f t="array" ref="A95">LEFT(F95, MIN(FIND({0,1,2,3,4,5,6,7,8,9}, F95 &amp; "0123456789")) - 1)</f>
        <v>T</v>
      </c>
      <c r="B95" s="1">
        <f t="shared" si="2"/>
        <v>115</v>
      </c>
      <c r="C95" s="1"/>
      <c r="D95" s="1">
        <f t="shared" si="3"/>
        <v>22</v>
      </c>
      <c r="E95" s="1" t="s">
        <v>1267</v>
      </c>
      <c r="F95" s="54" t="s">
        <v>136</v>
      </c>
      <c r="G95" s="25" t="s">
        <v>1433</v>
      </c>
    </row>
    <row r="96" spans="1:7" ht="24.95" customHeight="1">
      <c r="A96" s="5" t="str">
        <f t="array" ref="A96">LEFT(F96, MIN(FIND({0,1,2,3,4,5,6,7,8,9}, F96 &amp; "0123456789")) - 1)</f>
        <v>T</v>
      </c>
      <c r="B96" s="1">
        <f t="shared" si="2"/>
        <v>116</v>
      </c>
      <c r="C96" s="1"/>
      <c r="D96" s="1">
        <f t="shared" si="3"/>
        <v>22</v>
      </c>
      <c r="E96" s="1" t="s">
        <v>1238</v>
      </c>
      <c r="F96" s="54" t="s">
        <v>139</v>
      </c>
      <c r="G96" s="25" t="s">
        <v>1268</v>
      </c>
    </row>
    <row r="97" spans="1:7" ht="24.95" customHeight="1">
      <c r="A97" s="5" t="str">
        <f t="array" ref="A97">LEFT(F97, MIN(FIND({0,1,2,3,4,5,6,7,8,9}, F97 &amp; "0123456789")) - 1)</f>
        <v>T</v>
      </c>
      <c r="B97" s="1">
        <f t="shared" si="2"/>
        <v>118</v>
      </c>
      <c r="C97" s="1"/>
      <c r="D97" s="1">
        <f t="shared" si="3"/>
        <v>18</v>
      </c>
      <c r="E97" s="1" t="s">
        <v>767</v>
      </c>
      <c r="F97" s="54" t="s">
        <v>147</v>
      </c>
      <c r="G97" s="25" t="s">
        <v>768</v>
      </c>
    </row>
    <row r="98" spans="1:7" ht="24.95" customHeight="1">
      <c r="A98" s="5" t="str">
        <f t="array" ref="A98">LEFT(F98, MIN(FIND({0,1,2,3,4,5,6,7,8,9}, F98 &amp; "0123456789")) - 1)</f>
        <v>T</v>
      </c>
      <c r="B98" s="1">
        <f t="shared" si="2"/>
        <v>119</v>
      </c>
      <c r="C98" s="1"/>
      <c r="D98" s="1">
        <f t="shared" si="3"/>
        <v>22</v>
      </c>
      <c r="E98" s="1" t="s">
        <v>1239</v>
      </c>
      <c r="F98" s="54" t="s">
        <v>150</v>
      </c>
      <c r="G98" s="25" t="s">
        <v>1240</v>
      </c>
    </row>
    <row r="99" spans="1:7" ht="24.95" customHeight="1">
      <c r="A99" s="5" t="str">
        <f t="array" ref="A99">LEFT(F99, MIN(FIND({0,1,2,3,4,5,6,7,8,9}, F99 &amp; "0123456789")) - 1)</f>
        <v>T</v>
      </c>
      <c r="B99" s="1">
        <f t="shared" si="2"/>
        <v>120</v>
      </c>
      <c r="C99" s="1"/>
      <c r="D99" s="1">
        <f t="shared" si="3"/>
        <v>19</v>
      </c>
      <c r="E99" s="1" t="s">
        <v>1282</v>
      </c>
      <c r="F99" s="54" t="s">
        <v>153</v>
      </c>
      <c r="G99" s="59" t="s">
        <v>1283</v>
      </c>
    </row>
    <row r="100" spans="1:7" ht="24.95" customHeight="1">
      <c r="A100" s="5" t="str">
        <f t="array" ref="A100">LEFT(F100, MIN(FIND({0,1,2,3,4,5,6,7,8,9}, F100 &amp; "0123456789")) - 1)</f>
        <v>T</v>
      </c>
      <c r="B100" s="1">
        <f t="shared" si="2"/>
        <v>121</v>
      </c>
      <c r="C100" s="1"/>
      <c r="D100" s="1">
        <f t="shared" si="3"/>
        <v>17</v>
      </c>
      <c r="E100" s="1" t="s">
        <v>1540</v>
      </c>
      <c r="F100" s="54" t="s">
        <v>156</v>
      </c>
      <c r="G100" s="59" t="s">
        <v>1541</v>
      </c>
    </row>
    <row r="101" spans="1:7" ht="24.95" customHeight="1">
      <c r="A101" s="5" t="str">
        <f t="array" ref="A101">LEFT(F101, MIN(FIND({0,1,2,3,4,5,6,7,8,9}, F101 &amp; "0123456789")) - 1)</f>
        <v>T</v>
      </c>
      <c r="B101" s="1">
        <f t="shared" si="2"/>
        <v>122</v>
      </c>
      <c r="C101" s="1"/>
      <c r="D101" s="1">
        <f t="shared" si="3"/>
        <v>22</v>
      </c>
      <c r="E101" s="1" t="s">
        <v>1542</v>
      </c>
      <c r="F101" s="54" t="s">
        <v>160</v>
      </c>
      <c r="G101" s="59" t="s">
        <v>1543</v>
      </c>
    </row>
    <row r="102" spans="1:7" ht="24.95" customHeight="1">
      <c r="A102" s="5" t="str">
        <f t="array" ref="A102">LEFT(F102, MIN(FIND({0,1,2,3,4,5,6,7,8,9}, F102 &amp; "0123456789")) - 1)</f>
        <v>T</v>
      </c>
      <c r="B102" s="1">
        <f t="shared" si="2"/>
        <v>123</v>
      </c>
      <c r="C102" s="1"/>
      <c r="D102" s="1">
        <f t="shared" si="3"/>
        <v>23</v>
      </c>
      <c r="E102" s="1" t="s">
        <v>1544</v>
      </c>
      <c r="F102" s="54" t="s">
        <v>164</v>
      </c>
      <c r="G102" s="59" t="s">
        <v>1545</v>
      </c>
    </row>
    <row r="103" spans="1:7" ht="24.95" customHeight="1">
      <c r="A103" s="5" t="str">
        <f t="array" ref="A103">LEFT(F103, MIN(FIND({0,1,2,3,4,5,6,7,8,9}, F103 &amp; "0123456789")) - 1)</f>
        <v>V</v>
      </c>
      <c r="B103" s="1">
        <f t="shared" si="2"/>
        <v>0</v>
      </c>
      <c r="C103" s="1"/>
      <c r="D103" s="1">
        <f t="shared" si="3"/>
        <v>13</v>
      </c>
      <c r="E103" s="1" t="s">
        <v>1434</v>
      </c>
      <c r="F103" s="54" t="s">
        <v>769</v>
      </c>
      <c r="G103" s="59" t="s">
        <v>1435</v>
      </c>
    </row>
    <row r="104" spans="1:7" ht="24.95" customHeight="1">
      <c r="A104" s="5" t="str">
        <f t="array" ref="A104">LEFT(F104, MIN(FIND({0,1,2,3,4,5,6,7,8,9}, F104 &amp; "0123456789")) - 1)</f>
        <v>V</v>
      </c>
      <c r="B104" s="1">
        <f t="shared" si="2"/>
        <v>0.1</v>
      </c>
      <c r="C104" s="1"/>
      <c r="D104" s="1">
        <f t="shared" si="3"/>
        <v>18</v>
      </c>
      <c r="E104" s="1" t="s">
        <v>932</v>
      </c>
      <c r="F104" s="54" t="s">
        <v>557</v>
      </c>
      <c r="G104" s="59" t="s">
        <v>770</v>
      </c>
    </row>
    <row r="105" spans="1:7" ht="24.95" customHeight="1">
      <c r="A105" s="5" t="str">
        <f t="array" ref="A105">LEFT(F105, MIN(FIND({0,1,2,3,4,5,6,7,8,9}, F105 &amp; "0123456789")) - 1)</f>
        <v>V</v>
      </c>
      <c r="B105" s="1">
        <f t="shared" si="2"/>
        <v>0.2</v>
      </c>
      <c r="C105" s="1"/>
      <c r="D105" s="1">
        <f t="shared" si="3"/>
        <v>19</v>
      </c>
      <c r="E105" s="38" t="s">
        <v>933</v>
      </c>
      <c r="F105" s="1" t="s">
        <v>558</v>
      </c>
      <c r="G105" s="25" t="s">
        <v>771</v>
      </c>
    </row>
    <row r="106" spans="1:7" ht="24.95" customHeight="1">
      <c r="A106" s="5" t="str">
        <f t="array" ref="A106">LEFT(F106, MIN(FIND({0,1,2,3,4,5,6,7,8,9}, F106 &amp; "0123456789")) - 1)</f>
        <v>V</v>
      </c>
      <c r="B106" s="1">
        <f t="shared" si="2"/>
        <v>0.3</v>
      </c>
      <c r="C106" s="1"/>
      <c r="D106" s="1">
        <f t="shared" si="3"/>
        <v>18</v>
      </c>
      <c r="E106" s="38" t="s">
        <v>934</v>
      </c>
      <c r="F106" s="1" t="s">
        <v>559</v>
      </c>
      <c r="G106" s="35" t="s">
        <v>772</v>
      </c>
    </row>
    <row r="107" spans="1:7" ht="24.95" customHeight="1">
      <c r="A107" s="5" t="str">
        <f t="array" ref="A107">LEFT(F107, MIN(FIND({0,1,2,3,4,5,6,7,8,9}, F107 &amp; "0123456789")) - 1)</f>
        <v>V</v>
      </c>
      <c r="B107" s="1">
        <f t="shared" si="2"/>
        <v>0.4</v>
      </c>
      <c r="C107" s="1"/>
      <c r="D107" s="1">
        <f t="shared" si="3"/>
        <v>21</v>
      </c>
      <c r="E107" s="1" t="s">
        <v>1436</v>
      </c>
      <c r="F107" s="1" t="s">
        <v>560</v>
      </c>
      <c r="G107" s="25" t="s">
        <v>1437</v>
      </c>
    </row>
    <row r="108" spans="1:7" ht="24.95" customHeight="1">
      <c r="A108" s="5" t="str">
        <f t="array" ref="A108">LEFT(F108, MIN(FIND({0,1,2,3,4,5,6,7,8,9}, F108 &amp; "0123456789")) - 1)</f>
        <v>V</v>
      </c>
      <c r="B108" s="1">
        <f t="shared" si="2"/>
        <v>0.5</v>
      </c>
      <c r="C108" s="1"/>
      <c r="D108" s="1">
        <f t="shared" si="3"/>
        <v>11</v>
      </c>
      <c r="E108" s="1" t="s">
        <v>773</v>
      </c>
      <c r="F108" s="1" t="s">
        <v>561</v>
      </c>
      <c r="G108" s="25" t="s">
        <v>774</v>
      </c>
    </row>
    <row r="109" spans="1:7" ht="24.95" customHeight="1">
      <c r="A109" s="5" t="str">
        <f t="array" ref="A109">LEFT(F109, MIN(FIND({0,1,2,3,4,5,6,7,8,9}, F109 &amp; "0123456789")) - 1)</f>
        <v>V</v>
      </c>
      <c r="B109" s="1">
        <f t="shared" si="2"/>
        <v>0.6</v>
      </c>
      <c r="C109" s="1"/>
      <c r="D109" s="1">
        <f t="shared" si="3"/>
        <v>9</v>
      </c>
      <c r="E109" s="1" t="s">
        <v>935</v>
      </c>
      <c r="F109" s="1" t="s">
        <v>562</v>
      </c>
      <c r="G109" s="25" t="s">
        <v>775</v>
      </c>
    </row>
    <row r="110" spans="1:7" ht="24.95" customHeight="1">
      <c r="A110" s="5" t="str">
        <f t="array" ref="A110">LEFT(F110, MIN(FIND({0,1,2,3,4,5,6,7,8,9}, F110 &amp; "0123456789")) - 1)</f>
        <v>V</v>
      </c>
      <c r="B110" s="1">
        <f t="shared" si="2"/>
        <v>0.7</v>
      </c>
      <c r="C110" s="1"/>
      <c r="D110" s="1">
        <f t="shared" si="3"/>
        <v>10</v>
      </c>
      <c r="E110" s="1" t="s">
        <v>776</v>
      </c>
      <c r="F110" s="7" t="s">
        <v>563</v>
      </c>
      <c r="G110" s="25" t="s">
        <v>777</v>
      </c>
    </row>
    <row r="111" spans="1:7" ht="24.95" customHeight="1">
      <c r="A111" s="5" t="str">
        <f t="array" ref="A111">LEFT(F111, MIN(FIND({0,1,2,3,4,5,6,7,8,9}, F111 &amp; "0123456789")) - 1)</f>
        <v>V</v>
      </c>
      <c r="B111" s="1">
        <f t="shared" si="2"/>
        <v>1</v>
      </c>
      <c r="C111" s="1"/>
      <c r="D111" s="1">
        <f t="shared" si="3"/>
        <v>11</v>
      </c>
      <c r="E111" s="38" t="s">
        <v>778</v>
      </c>
      <c r="F111" s="1" t="s">
        <v>779</v>
      </c>
      <c r="G111" s="25" t="s">
        <v>780</v>
      </c>
    </row>
    <row r="112" spans="1:7" ht="24.95" customHeight="1">
      <c r="A112" s="5" t="str">
        <f t="array" ref="A112">LEFT(F112, MIN(FIND({0,1,2,3,4,5,6,7,8,9}, F112 &amp; "0123456789")) - 1)</f>
        <v>V</v>
      </c>
      <c r="B112" s="1">
        <f t="shared" si="2"/>
        <v>1.1000000000000001</v>
      </c>
      <c r="C112" s="1"/>
      <c r="D112" s="1">
        <f t="shared" si="3"/>
        <v>17</v>
      </c>
      <c r="E112" s="1" t="s">
        <v>781</v>
      </c>
      <c r="F112" s="1" t="s">
        <v>564</v>
      </c>
      <c r="G112" s="25" t="s">
        <v>782</v>
      </c>
    </row>
    <row r="113" spans="1:7" ht="24.95" customHeight="1">
      <c r="A113" s="5" t="str">
        <f t="array" ref="A113">LEFT(F113, MIN(FIND({0,1,2,3,4,5,6,7,8,9}, F113 &amp; "0123456789")) - 1)</f>
        <v>V</v>
      </c>
      <c r="B113" s="1">
        <f t="shared" si="2"/>
        <v>2</v>
      </c>
      <c r="C113" s="1"/>
      <c r="D113" s="1">
        <f t="shared" si="3"/>
        <v>11</v>
      </c>
      <c r="E113" s="1" t="s">
        <v>1438</v>
      </c>
      <c r="F113" s="38" t="s">
        <v>783</v>
      </c>
      <c r="G113" s="25" t="s">
        <v>1439</v>
      </c>
    </row>
    <row r="114" spans="1:7" ht="24.95" customHeight="1">
      <c r="A114" s="5" t="str">
        <f t="array" ref="A114">LEFT(F114, MIN(FIND({0,1,2,3,4,5,6,7,8,9}, F114 &amp; "0123456789")) - 1)</f>
        <v>V</v>
      </c>
      <c r="B114" s="1">
        <f t="shared" si="2"/>
        <v>2.1</v>
      </c>
      <c r="C114" s="1"/>
      <c r="D114" s="1">
        <f t="shared" si="3"/>
        <v>14</v>
      </c>
      <c r="E114" s="1" t="s">
        <v>1440</v>
      </c>
      <c r="F114" s="38" t="s">
        <v>571</v>
      </c>
      <c r="G114" s="25" t="s">
        <v>1241</v>
      </c>
    </row>
    <row r="115" spans="1:7" ht="24.95" customHeight="1">
      <c r="A115" s="5" t="str">
        <f t="array" ref="A115">LEFT(F115, MIN(FIND({0,1,2,3,4,5,6,7,8,9}, F115 &amp; "0123456789")) - 1)</f>
        <v>V</v>
      </c>
      <c r="B115" s="1">
        <f t="shared" si="2"/>
        <v>2.2000000000000002</v>
      </c>
      <c r="C115" s="1"/>
      <c r="D115" s="1">
        <f t="shared" si="3"/>
        <v>11</v>
      </c>
      <c r="E115" s="1" t="s">
        <v>1441</v>
      </c>
      <c r="F115" s="38" t="s">
        <v>572</v>
      </c>
      <c r="G115" s="25" t="s">
        <v>785</v>
      </c>
    </row>
    <row r="116" spans="1:7" ht="24.95" customHeight="1">
      <c r="A116" s="5" t="str">
        <f t="array" ref="A116">LEFT(F116, MIN(FIND({0,1,2,3,4,5,6,7,8,9}, F116 &amp; "0123456789")) - 1)</f>
        <v>V</v>
      </c>
      <c r="B116" s="1">
        <f t="shared" si="2"/>
        <v>2.2999999999999998</v>
      </c>
      <c r="C116" s="1"/>
      <c r="D116" s="1">
        <f t="shared" si="3"/>
        <v>10</v>
      </c>
      <c r="E116" s="1" t="s">
        <v>786</v>
      </c>
      <c r="F116" s="38" t="s">
        <v>573</v>
      </c>
      <c r="G116" s="25" t="s">
        <v>787</v>
      </c>
    </row>
    <row r="117" spans="1:7" ht="24.95" customHeight="1">
      <c r="A117" s="5" t="str">
        <f t="array" ref="A117">LEFT(F117, MIN(FIND({0,1,2,3,4,5,6,7,8,9}, F117 &amp; "0123456789")) - 1)</f>
        <v>V</v>
      </c>
      <c r="B117" s="1">
        <f t="shared" si="2"/>
        <v>2.4</v>
      </c>
      <c r="C117" s="1"/>
      <c r="D117" s="1">
        <f t="shared" si="3"/>
        <v>17</v>
      </c>
      <c r="E117" s="1" t="s">
        <v>1242</v>
      </c>
      <c r="F117" s="38" t="s">
        <v>574</v>
      </c>
      <c r="G117" s="33" t="s">
        <v>788</v>
      </c>
    </row>
    <row r="118" spans="1:7" ht="24.95" customHeight="1">
      <c r="A118" s="5" t="str">
        <f t="array" ref="A118">LEFT(F118, MIN(FIND({0,1,2,3,4,5,6,7,8,9}, F118 &amp; "0123456789")) - 1)</f>
        <v>V</v>
      </c>
      <c r="B118" s="1">
        <f t="shared" si="2"/>
        <v>2.5</v>
      </c>
      <c r="C118" s="1"/>
      <c r="D118" s="1">
        <f t="shared" si="3"/>
        <v>15</v>
      </c>
      <c r="E118" s="1" t="s">
        <v>1243</v>
      </c>
      <c r="F118" s="1" t="s">
        <v>575</v>
      </c>
      <c r="G118" s="25" t="s">
        <v>789</v>
      </c>
    </row>
    <row r="119" spans="1:7" ht="24.95" customHeight="1">
      <c r="A119" s="5" t="str">
        <f t="array" ref="A119">LEFT(F119, MIN(FIND({0,1,2,3,4,5,6,7,8,9}, F119 &amp; "0123456789")) - 1)</f>
        <v>V</v>
      </c>
      <c r="B119" s="1">
        <f t="shared" si="2"/>
        <v>2.6</v>
      </c>
      <c r="C119" s="1"/>
      <c r="D119" s="1">
        <f t="shared" si="3"/>
        <v>16</v>
      </c>
      <c r="E119" s="1" t="s">
        <v>1244</v>
      </c>
      <c r="F119" s="1" t="s">
        <v>576</v>
      </c>
      <c r="G119" s="25" t="s">
        <v>87</v>
      </c>
    </row>
    <row r="120" spans="1:7" ht="24.95" customHeight="1">
      <c r="A120" s="5" t="str">
        <f t="array" ref="A120">LEFT(F120, MIN(FIND({0,1,2,3,4,5,6,7,8,9}, F120 &amp; "0123456789")) - 1)</f>
        <v>V</v>
      </c>
      <c r="B120" s="1">
        <f t="shared" si="2"/>
        <v>2.7</v>
      </c>
      <c r="C120" s="1"/>
      <c r="D120" s="1">
        <f t="shared" si="3"/>
        <v>14</v>
      </c>
      <c r="E120" s="1" t="s">
        <v>1442</v>
      </c>
      <c r="F120" s="1" t="s">
        <v>577</v>
      </c>
      <c r="G120" s="25" t="s">
        <v>791</v>
      </c>
    </row>
    <row r="121" spans="1:7" ht="24.95" customHeight="1">
      <c r="A121" s="5" t="str">
        <f t="array" ref="A121">LEFT(F121, MIN(FIND({0,1,2,3,4,5,6,7,8,9}, F121 &amp; "0123456789")) - 1)</f>
        <v>V</v>
      </c>
      <c r="B121" s="1">
        <f t="shared" si="2"/>
        <v>1620</v>
      </c>
      <c r="C121" s="1"/>
      <c r="D121" s="1">
        <f t="shared" si="3"/>
        <v>21</v>
      </c>
      <c r="E121" s="1" t="s">
        <v>1356</v>
      </c>
      <c r="F121" s="1" t="s">
        <v>1443</v>
      </c>
      <c r="G121" s="25" t="s">
        <v>1357</v>
      </c>
    </row>
    <row r="122" spans="1:7" ht="24.95" customHeight="1">
      <c r="A122" s="5" t="str">
        <f t="array" ref="A122">LEFT(F122, MIN(FIND({0,1,2,3,4,5,6,7,8,9}, F122 &amp; "0123456789")) - 1)</f>
        <v>V</v>
      </c>
      <c r="B122" s="1">
        <f t="shared" si="2"/>
        <v>1620.1</v>
      </c>
      <c r="C122" s="1"/>
      <c r="D122" s="1">
        <f t="shared" si="3"/>
        <v>20</v>
      </c>
      <c r="E122" s="1" t="s">
        <v>1358</v>
      </c>
      <c r="F122" s="1" t="s">
        <v>1347</v>
      </c>
      <c r="G122" s="25" t="s">
        <v>978</v>
      </c>
    </row>
    <row r="123" spans="1:7" ht="24.95" customHeight="1">
      <c r="A123" s="5" t="str">
        <f t="array" ref="A123">LEFT(F123, MIN(FIND({0,1,2,3,4,5,6,7,8,9}, F123 &amp; "0123456789")) - 1)</f>
        <v>V</v>
      </c>
      <c r="B123" s="1">
        <f t="shared" si="2"/>
        <v>1620.2</v>
      </c>
      <c r="C123" s="1"/>
      <c r="D123" s="1">
        <f t="shared" si="3"/>
        <v>19</v>
      </c>
      <c r="E123" s="1" t="s">
        <v>1359</v>
      </c>
      <c r="F123" s="1" t="s">
        <v>1348</v>
      </c>
      <c r="G123" s="25" t="s">
        <v>979</v>
      </c>
    </row>
    <row r="124" spans="1:7" ht="24.95" customHeight="1">
      <c r="A124" s="5" t="str">
        <f t="array" ref="A124">LEFT(F124, MIN(FIND({0,1,2,3,4,5,6,7,8,9}, F124 &amp; "0123456789")) - 1)</f>
        <v>V</v>
      </c>
      <c r="B124" s="1">
        <f t="shared" si="2"/>
        <v>1620.3</v>
      </c>
      <c r="C124" s="1">
        <v>300</v>
      </c>
      <c r="D124" s="1">
        <f t="shared" si="3"/>
        <v>20</v>
      </c>
      <c r="E124" s="1" t="s">
        <v>1360</v>
      </c>
      <c r="F124" s="1" t="s">
        <v>1349</v>
      </c>
      <c r="G124" s="25" t="s">
        <v>980</v>
      </c>
    </row>
    <row r="125" spans="1:7" ht="24.95" customHeight="1">
      <c r="A125" s="5" t="str">
        <f t="array" ref="A125">LEFT(F125, MIN(FIND({0,1,2,3,4,5,6,7,8,9}, F125 &amp; "0123456789")) - 1)</f>
        <v>V</v>
      </c>
      <c r="B125" s="1">
        <f t="shared" si="2"/>
        <v>1620.4</v>
      </c>
      <c r="C125" s="1"/>
      <c r="D125" s="1">
        <f t="shared" si="3"/>
        <v>21</v>
      </c>
      <c r="E125" s="38" t="s">
        <v>1361</v>
      </c>
      <c r="F125" s="1" t="s">
        <v>1350</v>
      </c>
      <c r="G125" s="25" t="s">
        <v>1444</v>
      </c>
    </row>
    <row r="126" spans="1:7" ht="24.95" customHeight="1">
      <c r="A126" s="5" t="str">
        <f t="array" ref="A126">LEFT(F126, MIN(FIND({0,1,2,3,4,5,6,7,8,9}, F126 &amp; "0123456789")) - 1)</f>
        <v>V</v>
      </c>
      <c r="B126" s="1">
        <f t="shared" si="2"/>
        <v>1620.5</v>
      </c>
      <c r="C126" s="1">
        <v>360</v>
      </c>
      <c r="D126" s="1">
        <f t="shared" si="3"/>
        <v>16</v>
      </c>
      <c r="E126" s="1" t="s">
        <v>981</v>
      </c>
      <c r="F126" s="1" t="s">
        <v>1351</v>
      </c>
      <c r="G126" s="25" t="s">
        <v>1445</v>
      </c>
    </row>
    <row r="127" spans="1:7" ht="24.95" customHeight="1">
      <c r="A127" s="5" t="str">
        <f t="array" ref="A127">LEFT(F127, MIN(FIND({0,1,2,3,4,5,6,7,8,9}, F127 &amp; "0123456789")) - 1)</f>
        <v>V</v>
      </c>
      <c r="B127" s="1">
        <f t="shared" si="2"/>
        <v>1620.6</v>
      </c>
      <c r="C127" s="1">
        <v>364</v>
      </c>
      <c r="D127" s="1">
        <f t="shared" si="3"/>
        <v>17</v>
      </c>
      <c r="E127" s="1" t="s">
        <v>982</v>
      </c>
      <c r="F127" s="1" t="s">
        <v>1352</v>
      </c>
      <c r="G127" s="25" t="s">
        <v>1446</v>
      </c>
    </row>
    <row r="128" spans="1:7" ht="24.95" customHeight="1">
      <c r="A128" s="5" t="str">
        <f t="array" ref="A128">LEFT(F128, MIN(FIND({0,1,2,3,4,5,6,7,8,9}, F128 &amp; "0123456789")) - 1)</f>
        <v>V</v>
      </c>
      <c r="B128" s="1">
        <f t="shared" si="2"/>
        <v>1620.7</v>
      </c>
      <c r="C128" s="1">
        <v>368</v>
      </c>
      <c r="D128" s="1">
        <f t="shared" si="3"/>
        <v>18</v>
      </c>
      <c r="E128" s="1" t="s">
        <v>983</v>
      </c>
      <c r="F128" s="1" t="s">
        <v>1353</v>
      </c>
      <c r="G128" s="25" t="s">
        <v>1447</v>
      </c>
    </row>
    <row r="129" spans="1:7" ht="24.95" customHeight="1">
      <c r="A129" s="5" t="str">
        <f t="array" ref="A129">LEFT(F129, MIN(FIND({0,1,2,3,4,5,6,7,8,9}, F129 &amp; "0123456789")) - 1)</f>
        <v>V</v>
      </c>
      <c r="B129" s="1">
        <f t="shared" si="2"/>
        <v>1621</v>
      </c>
      <c r="C129" s="1">
        <v>372</v>
      </c>
      <c r="D129" s="1">
        <f t="shared" si="3"/>
        <v>19</v>
      </c>
      <c r="E129" s="1" t="s">
        <v>984</v>
      </c>
      <c r="F129" s="1" t="s">
        <v>1354</v>
      </c>
      <c r="G129" s="25" t="s">
        <v>1448</v>
      </c>
    </row>
    <row r="130" spans="1:7" ht="24.95" customHeight="1">
      <c r="A130" s="5" t="str">
        <f t="array" ref="A130">LEFT(F130, MIN(FIND({0,1,2,3,4,5,6,7,8,9}, F130 &amp; "0123456789")) - 1)</f>
        <v>V</v>
      </c>
      <c r="B130" s="1">
        <f t="shared" ref="B130:B193" si="4">VALUE(RIGHT(F130,LEN(F130)-LEN(A130)))</f>
        <v>1621.1</v>
      </c>
      <c r="C130" s="1">
        <v>304</v>
      </c>
      <c r="D130" s="1">
        <f t="shared" ref="D130:D193" si="5">LEN(E130)</f>
        <v>21</v>
      </c>
      <c r="E130" s="1" t="s">
        <v>985</v>
      </c>
      <c r="F130" s="1" t="s">
        <v>1355</v>
      </c>
      <c r="G130" s="25" t="s">
        <v>1449</v>
      </c>
    </row>
    <row r="131" spans="1:7" ht="24.95" customHeight="1">
      <c r="A131" s="5" t="str">
        <f t="array" ref="A131">LEFT(F131, MIN(FIND({0,1,2,3,4,5,6,7,8,9}, F131 &amp; "0123456789")) - 1)</f>
        <v>VB</v>
      </c>
      <c r="B131" s="1">
        <f t="shared" si="4"/>
        <v>800</v>
      </c>
      <c r="C131" s="1">
        <v>376</v>
      </c>
      <c r="D131" s="1">
        <f t="shared" si="5"/>
        <v>15</v>
      </c>
      <c r="E131" s="1" t="s">
        <v>1117</v>
      </c>
      <c r="F131" s="7" t="s">
        <v>1118</v>
      </c>
      <c r="G131" s="25" t="s">
        <v>1119</v>
      </c>
    </row>
    <row r="132" spans="1:7" ht="24.95" customHeight="1">
      <c r="A132" s="5" t="str">
        <f t="array" ref="A132">LEFT(F132, MIN(FIND({0,1,2,3,4,5,6,7,8,9}, F132 &amp; "0123456789")) - 1)</f>
        <v>VB</v>
      </c>
      <c r="B132" s="1">
        <f t="shared" si="4"/>
        <v>802</v>
      </c>
      <c r="C132" s="1">
        <v>380</v>
      </c>
      <c r="D132" s="1">
        <f t="shared" si="5"/>
        <v>17</v>
      </c>
      <c r="E132" s="1" t="s">
        <v>1120</v>
      </c>
      <c r="F132" s="1" t="s">
        <v>1122</v>
      </c>
      <c r="G132" s="25" t="s">
        <v>751</v>
      </c>
    </row>
    <row r="133" spans="1:7" ht="24.95" customHeight="1">
      <c r="A133" s="5" t="str">
        <f t="array" ref="A133">LEFT(F133, MIN(FIND({0,1,2,3,4,5,6,7,8,9}, F133 &amp; "0123456789")) - 1)</f>
        <v>VB</v>
      </c>
      <c r="B133" s="1">
        <f t="shared" si="4"/>
        <v>804</v>
      </c>
      <c r="C133" s="1">
        <v>384</v>
      </c>
      <c r="D133" s="1">
        <f t="shared" si="5"/>
        <v>18</v>
      </c>
      <c r="E133" s="1" t="s">
        <v>1121</v>
      </c>
      <c r="F133" s="1" t="s">
        <v>1124</v>
      </c>
      <c r="G133" s="25" t="s">
        <v>752</v>
      </c>
    </row>
    <row r="134" spans="1:7" ht="24.95" customHeight="1">
      <c r="A134" s="5" t="str">
        <f t="array" ref="A134">LEFT(F134, MIN(FIND({0,1,2,3,4,5,6,7,8,9}, F134 &amp; "0123456789")) - 1)</f>
        <v>VB</v>
      </c>
      <c r="B134" s="1">
        <f t="shared" si="4"/>
        <v>806</v>
      </c>
      <c r="C134" s="1">
        <v>388</v>
      </c>
      <c r="D134" s="1">
        <f t="shared" si="5"/>
        <v>15</v>
      </c>
      <c r="E134" s="1" t="s">
        <v>1123</v>
      </c>
      <c r="F134" s="1" t="s">
        <v>1126</v>
      </c>
      <c r="G134" s="25" t="s">
        <v>1125</v>
      </c>
    </row>
    <row r="135" spans="1:7" ht="24.95" customHeight="1">
      <c r="A135" s="5" t="str">
        <f t="array" ref="A135">LEFT(F135, MIN(FIND({0,1,2,3,4,5,6,7,8,9}, F135 &amp; "0123456789")) - 1)</f>
        <v>VB</v>
      </c>
      <c r="B135" s="1">
        <f t="shared" si="4"/>
        <v>808</v>
      </c>
      <c r="C135" s="1">
        <v>392</v>
      </c>
      <c r="D135" s="1">
        <f t="shared" si="5"/>
        <v>13</v>
      </c>
      <c r="E135" s="1" t="s">
        <v>1245</v>
      </c>
      <c r="F135" s="1" t="s">
        <v>1129</v>
      </c>
      <c r="G135" s="25" t="s">
        <v>1127</v>
      </c>
    </row>
    <row r="136" spans="1:7" ht="24.95" customHeight="1">
      <c r="A136" s="5" t="str">
        <f t="array" ref="A136">LEFT(F136, MIN(FIND({0,1,2,3,4,5,6,7,8,9}, F136 &amp; "0123456789")) - 1)</f>
        <v>VB</v>
      </c>
      <c r="B136" s="1">
        <f t="shared" si="4"/>
        <v>810</v>
      </c>
      <c r="C136" s="1">
        <v>396</v>
      </c>
      <c r="D136" s="1">
        <f t="shared" si="5"/>
        <v>18</v>
      </c>
      <c r="E136" s="1" t="s">
        <v>1128</v>
      </c>
      <c r="F136" s="1" t="s">
        <v>1277</v>
      </c>
      <c r="G136" s="25" t="s">
        <v>1130</v>
      </c>
    </row>
    <row r="137" spans="1:7" ht="24.95" customHeight="1">
      <c r="A137" s="5" t="str">
        <f t="array" ref="A137">LEFT(F137, MIN(FIND({0,1,2,3,4,5,6,7,8,9}, F137 &amp; "0123456789")) - 1)</f>
        <v>VB</v>
      </c>
      <c r="B137" s="1">
        <f t="shared" si="4"/>
        <v>812</v>
      </c>
      <c r="C137" s="1"/>
      <c r="D137" s="1">
        <f t="shared" si="5"/>
        <v>22</v>
      </c>
      <c r="E137" s="38" t="s">
        <v>1546</v>
      </c>
      <c r="F137" s="7" t="s">
        <v>1547</v>
      </c>
      <c r="G137" s="25" t="s">
        <v>1548</v>
      </c>
    </row>
    <row r="138" spans="1:7" ht="24.95" customHeight="1">
      <c r="A138" s="5" t="str">
        <f t="array" ref="A138">LEFT(F138, MIN(FIND({0,1,2,3,4,5,6,7,8,9}, F138 &amp; "0123456789")) - 1)</f>
        <v>VD</v>
      </c>
      <c r="B138" s="1">
        <f t="shared" si="4"/>
        <v>20</v>
      </c>
      <c r="C138" s="1">
        <v>400</v>
      </c>
      <c r="D138" s="1">
        <f t="shared" si="5"/>
        <v>19</v>
      </c>
      <c r="E138" s="1" t="s">
        <v>1284</v>
      </c>
      <c r="F138" s="1" t="s">
        <v>1131</v>
      </c>
      <c r="G138" s="25" t="s">
        <v>1285</v>
      </c>
    </row>
    <row r="139" spans="1:7" ht="24.95" customHeight="1">
      <c r="A139" s="5" t="str">
        <f t="array" ref="A139">LEFT(F139, MIN(FIND({0,1,2,3,4,5,6,7,8,9}, F139 &amp; "0123456789")) - 1)</f>
        <v>VD</v>
      </c>
      <c r="B139" s="1">
        <f t="shared" si="4"/>
        <v>24</v>
      </c>
      <c r="C139" s="1">
        <v>404</v>
      </c>
      <c r="D139" s="1">
        <f t="shared" si="5"/>
        <v>22</v>
      </c>
      <c r="E139" s="1" t="s">
        <v>987</v>
      </c>
      <c r="F139" s="1" t="s">
        <v>1132</v>
      </c>
      <c r="G139" s="25" t="s">
        <v>988</v>
      </c>
    </row>
    <row r="140" spans="1:7" ht="24.95" customHeight="1">
      <c r="A140" s="5" t="str">
        <f t="array" ref="A140">LEFT(F140, MIN(FIND({0,1,2,3,4,5,6,7,8,9}, F140 &amp; "0123456789")) - 1)</f>
        <v>VD</v>
      </c>
      <c r="B140" s="1">
        <f t="shared" si="4"/>
        <v>32</v>
      </c>
      <c r="C140" s="1">
        <v>408</v>
      </c>
      <c r="D140" s="1">
        <f t="shared" si="5"/>
        <v>23</v>
      </c>
      <c r="E140" s="1" t="s">
        <v>1270</v>
      </c>
      <c r="F140" s="7" t="s">
        <v>1133</v>
      </c>
      <c r="G140" s="25" t="s">
        <v>989</v>
      </c>
    </row>
    <row r="141" spans="1:7" ht="24.95" customHeight="1">
      <c r="A141" s="5" t="str">
        <f t="array" ref="A141">LEFT(F141, MIN(FIND({0,1,2,3,4,5,6,7,8,9}, F141 &amp; "0123456789")) - 1)</f>
        <v>VD</v>
      </c>
      <c r="B141" s="1">
        <f t="shared" si="4"/>
        <v>36</v>
      </c>
      <c r="C141" s="1">
        <v>308</v>
      </c>
      <c r="D141" s="1">
        <f t="shared" si="5"/>
        <v>23</v>
      </c>
      <c r="E141" s="1" t="s">
        <v>1271</v>
      </c>
      <c r="F141" s="1" t="s">
        <v>1134</v>
      </c>
      <c r="G141" s="25" t="s">
        <v>990</v>
      </c>
    </row>
    <row r="142" spans="1:7" ht="24.95" customHeight="1">
      <c r="A142" s="5" t="str">
        <f t="array" ref="A142">LEFT(F142, MIN(FIND({0,1,2,3,4,5,6,7,8,9}, F142 &amp; "0123456789")) - 1)</f>
        <v>VD</v>
      </c>
      <c r="B142" s="1">
        <f t="shared" si="4"/>
        <v>40</v>
      </c>
      <c r="C142" s="1">
        <v>412</v>
      </c>
      <c r="D142" s="1">
        <f t="shared" si="5"/>
        <v>20</v>
      </c>
      <c r="E142" s="1" t="s">
        <v>1450</v>
      </c>
      <c r="F142" s="1" t="s">
        <v>1135</v>
      </c>
      <c r="G142" s="25" t="s">
        <v>997</v>
      </c>
    </row>
    <row r="143" spans="1:7" ht="24.95" customHeight="1">
      <c r="A143" s="5" t="str">
        <f t="array" ref="A143">LEFT(F143, MIN(FIND({0,1,2,3,4,5,6,7,8,9}, F143 &amp; "0123456789")) - 1)</f>
        <v>VD</v>
      </c>
      <c r="B143" s="1">
        <f t="shared" si="4"/>
        <v>44</v>
      </c>
      <c r="C143" s="1">
        <v>416</v>
      </c>
      <c r="D143" s="1">
        <f t="shared" si="5"/>
        <v>20</v>
      </c>
      <c r="E143" s="1" t="s">
        <v>1451</v>
      </c>
      <c r="F143" s="1" t="s">
        <v>1136</v>
      </c>
      <c r="G143" s="25" t="s">
        <v>998</v>
      </c>
    </row>
    <row r="144" spans="1:7" ht="24.95" customHeight="1">
      <c r="A144" s="5" t="str">
        <f t="array" ref="A144">LEFT(F144, MIN(FIND({0,1,2,3,4,5,6,7,8,9}, F144 &amp; "0123456789")) - 1)</f>
        <v>VD</v>
      </c>
      <c r="B144" s="1">
        <f t="shared" si="4"/>
        <v>48</v>
      </c>
      <c r="C144" s="1">
        <v>420</v>
      </c>
      <c r="D144" s="1">
        <f t="shared" si="5"/>
        <v>19</v>
      </c>
      <c r="E144" s="1" t="s">
        <v>1272</v>
      </c>
      <c r="F144" s="1" t="s">
        <v>1137</v>
      </c>
      <c r="G144" s="25" t="s">
        <v>1138</v>
      </c>
    </row>
    <row r="145" spans="1:7" ht="24.95" customHeight="1">
      <c r="A145" s="5" t="str">
        <f t="array" ref="A145">LEFT(F145, MIN(FIND({0,1,2,3,4,5,6,7,8,9}, F145 &amp; "0123456789")) - 1)</f>
        <v>VD</v>
      </c>
      <c r="B145" s="1">
        <f t="shared" si="4"/>
        <v>52</v>
      </c>
      <c r="C145" s="1">
        <v>424</v>
      </c>
      <c r="D145" s="1">
        <f t="shared" si="5"/>
        <v>19</v>
      </c>
      <c r="E145" s="1" t="s">
        <v>1273</v>
      </c>
      <c r="F145" s="1" t="s">
        <v>1139</v>
      </c>
      <c r="G145" s="25" t="s">
        <v>1140</v>
      </c>
    </row>
    <row r="146" spans="1:7" ht="24.95" customHeight="1">
      <c r="A146" s="5" t="str">
        <f t="array" ref="A146">LEFT(F146, MIN(FIND({0,1,2,3,4,5,6,7,8,9}, F146 &amp; "0123456789")) - 1)</f>
        <v>VD</v>
      </c>
      <c r="B146" s="1">
        <f t="shared" si="4"/>
        <v>56</v>
      </c>
      <c r="C146" s="1">
        <v>428</v>
      </c>
      <c r="D146" s="1">
        <f t="shared" si="5"/>
        <v>14</v>
      </c>
      <c r="E146" s="1" t="s">
        <v>1141</v>
      </c>
      <c r="F146" s="1" t="s">
        <v>1142</v>
      </c>
      <c r="G146" s="25" t="s">
        <v>1143</v>
      </c>
    </row>
    <row r="147" spans="1:7" ht="24.95" customHeight="1">
      <c r="A147" s="5" t="str">
        <f t="array" ref="A147">LEFT(F147, MIN(FIND({0,1,2,3,4,5,6,7,8,9}, F147 &amp; "0123456789")) - 1)</f>
        <v>VD</v>
      </c>
      <c r="B147" s="1">
        <f t="shared" si="4"/>
        <v>60</v>
      </c>
      <c r="C147" s="1">
        <v>432</v>
      </c>
      <c r="D147" s="1">
        <f t="shared" si="5"/>
        <v>14</v>
      </c>
      <c r="E147" s="1" t="s">
        <v>1002</v>
      </c>
      <c r="F147" s="1" t="s">
        <v>1144</v>
      </c>
      <c r="G147" s="25" t="s">
        <v>162</v>
      </c>
    </row>
    <row r="148" spans="1:7" ht="24.95" customHeight="1">
      <c r="A148" s="5" t="str">
        <f t="array" ref="A148">LEFT(F148, MIN(FIND({0,1,2,3,4,5,6,7,8,9}, F148 &amp; "0123456789")) - 1)</f>
        <v>VD</v>
      </c>
      <c r="B148" s="1">
        <f t="shared" si="4"/>
        <v>64</v>
      </c>
      <c r="C148" s="1">
        <v>436</v>
      </c>
      <c r="D148" s="1">
        <f t="shared" si="5"/>
        <v>21</v>
      </c>
      <c r="E148" s="1" t="s">
        <v>1003</v>
      </c>
      <c r="F148" s="1" t="s">
        <v>1145</v>
      </c>
      <c r="G148" s="25" t="s">
        <v>1004</v>
      </c>
    </row>
    <row r="149" spans="1:7" ht="24.95" customHeight="1">
      <c r="A149" s="5" t="str">
        <f t="array" ref="A149">LEFT(F149, MIN(FIND({0,1,2,3,4,5,6,7,8,9}, F149 &amp; "0123456789")) - 1)</f>
        <v>VD</v>
      </c>
      <c r="B149" s="1">
        <f t="shared" si="4"/>
        <v>68</v>
      </c>
      <c r="C149" s="1"/>
      <c r="D149" s="1">
        <f t="shared" si="5"/>
        <v>21</v>
      </c>
      <c r="E149" s="38" t="s">
        <v>1005</v>
      </c>
      <c r="F149" s="1" t="s">
        <v>1146</v>
      </c>
      <c r="G149" s="33" t="s">
        <v>1006</v>
      </c>
    </row>
    <row r="150" spans="1:7" ht="24.95" customHeight="1">
      <c r="A150" s="5" t="str">
        <f t="array" ref="A150">LEFT(F150, MIN(FIND({0,1,2,3,4,5,6,7,8,9}, F150 &amp; "0123456789")) - 1)</f>
        <v>VD</v>
      </c>
      <c r="B150" s="1">
        <f t="shared" si="4"/>
        <v>72</v>
      </c>
      <c r="C150" s="1">
        <v>440</v>
      </c>
      <c r="D150" s="1">
        <f t="shared" si="5"/>
        <v>19</v>
      </c>
      <c r="E150" s="1" t="s">
        <v>1452</v>
      </c>
      <c r="F150" s="7" t="s">
        <v>1147</v>
      </c>
      <c r="G150" s="25" t="s">
        <v>1453</v>
      </c>
    </row>
    <row r="151" spans="1:7" ht="24.95" customHeight="1">
      <c r="A151" s="5" t="str">
        <f t="array" ref="A151">LEFT(F151, MIN(FIND({0,1,2,3,4,5,6,7,8,9}, F151 &amp; "0123456789")) - 1)</f>
        <v>VD</v>
      </c>
      <c r="B151" s="1">
        <f t="shared" si="4"/>
        <v>76</v>
      </c>
      <c r="C151" s="1">
        <v>444</v>
      </c>
      <c r="D151" s="1">
        <f t="shared" si="5"/>
        <v>19</v>
      </c>
      <c r="E151" s="1" t="s">
        <v>1007</v>
      </c>
      <c r="F151" s="1" t="s">
        <v>1148</v>
      </c>
      <c r="G151" s="25" t="s">
        <v>1008</v>
      </c>
    </row>
    <row r="152" spans="1:7" ht="24.95" customHeight="1">
      <c r="A152" s="5" t="str">
        <f t="array" ref="A152">LEFT(F152, MIN(FIND({0,1,2,3,4,5,6,7,8,9}, F152 &amp; "0123456789")) - 1)</f>
        <v>VD</v>
      </c>
      <c r="B152" s="1">
        <f t="shared" si="4"/>
        <v>80</v>
      </c>
      <c r="C152" s="1">
        <v>312</v>
      </c>
      <c r="D152" s="1">
        <f t="shared" si="5"/>
        <v>16</v>
      </c>
      <c r="E152" s="1" t="s">
        <v>1149</v>
      </c>
      <c r="F152" s="1" t="s">
        <v>1150</v>
      </c>
      <c r="G152" s="25" t="s">
        <v>1151</v>
      </c>
    </row>
    <row r="153" spans="1:7" ht="24.95" customHeight="1">
      <c r="A153" s="5" t="str">
        <f t="array" ref="A153">LEFT(F153, MIN(FIND({0,1,2,3,4,5,6,7,8,9}, F153 &amp; "0123456789")) - 1)</f>
        <v>VD</v>
      </c>
      <c r="B153" s="1">
        <f t="shared" si="4"/>
        <v>84</v>
      </c>
      <c r="C153" s="1">
        <v>448</v>
      </c>
      <c r="D153" s="1">
        <f t="shared" si="5"/>
        <v>15</v>
      </c>
      <c r="E153" s="1" t="s">
        <v>1009</v>
      </c>
      <c r="F153" s="1" t="s">
        <v>1152</v>
      </c>
      <c r="G153" s="25" t="s">
        <v>1010</v>
      </c>
    </row>
    <row r="154" spans="1:7" ht="24.95" customHeight="1">
      <c r="A154" s="5" t="str">
        <f t="array" ref="A154">LEFT(F154, MIN(FIND({0,1,2,3,4,5,6,7,8,9}, F154 &amp; "0123456789")) - 1)</f>
        <v>VD</v>
      </c>
      <c r="B154" s="1">
        <f t="shared" si="4"/>
        <v>88</v>
      </c>
      <c r="C154" s="1">
        <v>452</v>
      </c>
      <c r="D154" s="1">
        <f t="shared" si="5"/>
        <v>18</v>
      </c>
      <c r="E154" s="1" t="s">
        <v>986</v>
      </c>
      <c r="F154" s="1" t="s">
        <v>1286</v>
      </c>
      <c r="G154" s="25" t="s">
        <v>1287</v>
      </c>
    </row>
    <row r="155" spans="1:7" ht="24.95" customHeight="1">
      <c r="A155" s="5" t="str">
        <f t="array" ref="A155">LEFT(F155, MIN(FIND({0,1,2,3,4,5,6,7,8,9}, F155 &amp; "0123456789")) - 1)</f>
        <v>VD</v>
      </c>
      <c r="B155" s="1">
        <f t="shared" si="4"/>
        <v>92</v>
      </c>
      <c r="C155" s="1">
        <v>456</v>
      </c>
      <c r="D155" s="1">
        <f t="shared" si="5"/>
        <v>20</v>
      </c>
      <c r="E155" s="1" t="s">
        <v>1454</v>
      </c>
      <c r="F155" s="1" t="s">
        <v>1455</v>
      </c>
      <c r="G155" s="25" t="s">
        <v>1456</v>
      </c>
    </row>
    <row r="156" spans="1:7" ht="24.95" customHeight="1">
      <c r="A156" s="5" t="str">
        <f t="array" ref="A156">LEFT(F156, MIN(FIND({0,1,2,3,4,5,6,7,8,9}, F156 &amp; "0123456789")) - 1)</f>
        <v>VD</v>
      </c>
      <c r="B156" s="1">
        <f t="shared" si="4"/>
        <v>96</v>
      </c>
      <c r="C156" s="1">
        <v>460</v>
      </c>
      <c r="D156" s="1">
        <f t="shared" si="5"/>
        <v>20</v>
      </c>
      <c r="E156" s="1" t="s">
        <v>1457</v>
      </c>
      <c r="F156" s="1" t="s">
        <v>1458</v>
      </c>
      <c r="G156" s="25" t="s">
        <v>1459</v>
      </c>
    </row>
    <row r="157" spans="1:7" ht="24.95" customHeight="1">
      <c r="A157" s="5" t="str">
        <f t="array" ref="A157">LEFT(F157, MIN(FIND({0,1,2,3,4,5,6,7,8,9}, F157 &amp; "0123456789")) - 1)</f>
        <v>VD</v>
      </c>
      <c r="B157" s="1">
        <f t="shared" si="4"/>
        <v>100</v>
      </c>
      <c r="C157" s="1">
        <v>464</v>
      </c>
      <c r="D157" s="1">
        <f t="shared" si="5"/>
        <v>20</v>
      </c>
      <c r="E157" s="1" t="s">
        <v>1549</v>
      </c>
      <c r="F157" s="1" t="s">
        <v>1550</v>
      </c>
      <c r="G157" s="25" t="s">
        <v>1551</v>
      </c>
    </row>
    <row r="158" spans="1:7" ht="24.95" customHeight="1">
      <c r="A158" s="5" t="str">
        <f t="array" ref="A158">LEFT(F158, MIN(FIND({0,1,2,3,4,5,6,7,8,9}, F158 &amp; "0123456789")) - 1)</f>
        <v>VD</v>
      </c>
      <c r="B158" s="1">
        <f t="shared" si="4"/>
        <v>146</v>
      </c>
      <c r="C158" s="1">
        <v>468</v>
      </c>
      <c r="D158" s="1">
        <f t="shared" si="5"/>
        <v>20</v>
      </c>
      <c r="E158" s="1" t="s">
        <v>1552</v>
      </c>
      <c r="F158" s="1" t="s">
        <v>1553</v>
      </c>
      <c r="G158" s="25" t="s">
        <v>1554</v>
      </c>
    </row>
    <row r="159" spans="1:7" ht="24.95" customHeight="1">
      <c r="A159" s="5" t="str">
        <f t="array" ref="A159">LEFT(F159, MIN(FIND({0,1,2,3,4,5,6,7,8,9}, F159 &amp; "0123456789")) - 1)</f>
        <v>VD</v>
      </c>
      <c r="B159" s="1">
        <f t="shared" si="4"/>
        <v>150</v>
      </c>
      <c r="C159" s="1">
        <v>472</v>
      </c>
      <c r="D159" s="1">
        <f t="shared" si="5"/>
        <v>20</v>
      </c>
      <c r="E159" s="1" t="s">
        <v>1555</v>
      </c>
      <c r="F159" s="7" t="s">
        <v>1556</v>
      </c>
      <c r="G159" s="25" t="s">
        <v>1557</v>
      </c>
    </row>
    <row r="160" spans="1:7" ht="24.95" customHeight="1">
      <c r="A160" s="5" t="str">
        <f t="array" ref="A160">LEFT(F160, MIN(FIND({0,1,2,3,4,5,6,7,8,9}, F160 &amp; "0123456789")) - 1)</f>
        <v>VD</v>
      </c>
      <c r="B160" s="1">
        <f t="shared" si="4"/>
        <v>300</v>
      </c>
      <c r="C160" s="1">
        <v>476</v>
      </c>
      <c r="D160" s="1">
        <f t="shared" si="5"/>
        <v>22</v>
      </c>
      <c r="E160" s="5" t="s">
        <v>991</v>
      </c>
      <c r="F160" s="1" t="s">
        <v>660</v>
      </c>
      <c r="G160" s="25" t="s">
        <v>992</v>
      </c>
    </row>
    <row r="161" spans="1:7" ht="24.95" customHeight="1">
      <c r="A161" s="5" t="str">
        <f t="array" ref="A161">LEFT(F161, MIN(FIND({0,1,2,3,4,5,6,7,8,9}, F161 &amp; "0123456789")) - 1)</f>
        <v>VD</v>
      </c>
      <c r="B161" s="1">
        <f t="shared" si="4"/>
        <v>304</v>
      </c>
      <c r="C161" s="1"/>
      <c r="D161" s="1">
        <f t="shared" si="5"/>
        <v>22</v>
      </c>
      <c r="E161" s="38" t="s">
        <v>993</v>
      </c>
      <c r="F161" s="1" t="s">
        <v>661</v>
      </c>
      <c r="G161" s="25" t="s">
        <v>994</v>
      </c>
    </row>
    <row r="162" spans="1:7" ht="24.95" customHeight="1">
      <c r="A162" s="5" t="str">
        <f t="array" ref="A162">LEFT(F162, MIN(FIND({0,1,2,3,4,5,6,7,8,9}, F162 &amp; "0123456789")) - 1)</f>
        <v>VD</v>
      </c>
      <c r="B162" s="1">
        <f t="shared" si="4"/>
        <v>308</v>
      </c>
      <c r="C162" s="1">
        <v>480</v>
      </c>
      <c r="D162" s="1">
        <f t="shared" si="5"/>
        <v>20</v>
      </c>
      <c r="E162" s="5" t="s">
        <v>995</v>
      </c>
      <c r="F162" s="1" t="s">
        <v>1153</v>
      </c>
      <c r="G162" s="25" t="s">
        <v>996</v>
      </c>
    </row>
    <row r="163" spans="1:7" ht="24.95" customHeight="1">
      <c r="A163" s="5" t="str">
        <f t="array" ref="A163">LEFT(F163, MIN(FIND({0,1,2,3,4,5,6,7,8,9}, F163 &amp; "0123456789")) - 1)</f>
        <v>VD</v>
      </c>
      <c r="B163" s="1">
        <f t="shared" si="4"/>
        <v>312</v>
      </c>
      <c r="C163" s="1">
        <v>316</v>
      </c>
      <c r="D163" s="1">
        <f t="shared" si="5"/>
        <v>18</v>
      </c>
      <c r="E163" s="1" t="s">
        <v>999</v>
      </c>
      <c r="F163" s="1" t="s">
        <v>1154</v>
      </c>
      <c r="G163" s="25" t="s">
        <v>1155</v>
      </c>
    </row>
    <row r="164" spans="1:7" ht="24.95" customHeight="1">
      <c r="A164" s="5" t="str">
        <f t="array" ref="A164">LEFT(F164, MIN(FIND({0,1,2,3,4,5,6,7,8,9}, F164 &amp; "0123456789")) - 1)</f>
        <v>VD</v>
      </c>
      <c r="B164" s="1">
        <f t="shared" si="4"/>
        <v>316</v>
      </c>
      <c r="C164" s="1">
        <v>484</v>
      </c>
      <c r="D164" s="1">
        <f t="shared" si="5"/>
        <v>18</v>
      </c>
      <c r="E164" s="5" t="s">
        <v>1000</v>
      </c>
      <c r="F164" s="1" t="s">
        <v>1156</v>
      </c>
      <c r="G164" s="25" t="s">
        <v>1157</v>
      </c>
    </row>
    <row r="165" spans="1:7" ht="24.95" customHeight="1">
      <c r="A165" s="5" t="str">
        <f t="array" ref="A165">LEFT(F165, MIN(FIND({0,1,2,3,4,5,6,7,8,9}, F165 &amp; "0123456789")) - 1)</f>
        <v>VD</v>
      </c>
      <c r="B165" s="1">
        <f t="shared" si="4"/>
        <v>320</v>
      </c>
      <c r="C165" s="1">
        <v>488</v>
      </c>
      <c r="D165" s="1">
        <f t="shared" si="5"/>
        <v>21</v>
      </c>
      <c r="E165" s="5" t="s">
        <v>1274</v>
      </c>
      <c r="F165" s="1" t="s">
        <v>1158</v>
      </c>
      <c r="G165" s="25" t="s">
        <v>1159</v>
      </c>
    </row>
    <row r="166" spans="1:7" ht="24.95" customHeight="1">
      <c r="A166" s="5" t="str">
        <f t="array" ref="A166">LEFT(F166, MIN(FIND({0,1,2,3,4,5,6,7,8,9}, F166 &amp; "0123456789")) - 1)</f>
        <v>VD</v>
      </c>
      <c r="B166" s="1">
        <f t="shared" si="4"/>
        <v>324</v>
      </c>
      <c r="C166" s="1">
        <v>492</v>
      </c>
      <c r="D166" s="1">
        <f t="shared" si="5"/>
        <v>11</v>
      </c>
      <c r="E166" s="5" t="s">
        <v>1160</v>
      </c>
      <c r="F166" s="1" t="s">
        <v>1161</v>
      </c>
      <c r="G166" s="25" t="s">
        <v>1162</v>
      </c>
    </row>
    <row r="167" spans="1:7" ht="24.95" customHeight="1">
      <c r="A167" s="5" t="str">
        <f t="array" ref="A167">LEFT(F167, MIN(FIND({0,1,2,3,4,5,6,7,8,9}, F167 &amp; "0123456789")) - 1)</f>
        <v>VD</v>
      </c>
      <c r="B167" s="1">
        <f t="shared" si="4"/>
        <v>328</v>
      </c>
      <c r="C167" s="1">
        <v>496</v>
      </c>
      <c r="D167" s="1">
        <f t="shared" si="5"/>
        <v>11</v>
      </c>
      <c r="E167" s="5" t="s">
        <v>1163</v>
      </c>
      <c r="F167" s="1" t="s">
        <v>1164</v>
      </c>
      <c r="G167" s="25" t="s">
        <v>1165</v>
      </c>
    </row>
    <row r="168" spans="1:7" ht="24.95" customHeight="1">
      <c r="A168" s="5" t="str">
        <f t="array" ref="A168">LEFT(F168, MIN(FIND({0,1,2,3,4,5,6,7,8,9}, F168 &amp; "0123456789")) - 1)</f>
        <v>VD</v>
      </c>
      <c r="B168" s="1">
        <f t="shared" si="4"/>
        <v>332</v>
      </c>
      <c r="C168" s="1">
        <v>500</v>
      </c>
      <c r="D168" s="1">
        <f t="shared" si="5"/>
        <v>11</v>
      </c>
      <c r="E168" s="1" t="s">
        <v>1166</v>
      </c>
      <c r="F168" s="1" t="s">
        <v>1167</v>
      </c>
      <c r="G168" s="25" t="s">
        <v>1168</v>
      </c>
    </row>
    <row r="169" spans="1:7" ht="24.95" customHeight="1">
      <c r="A169" s="5" t="str">
        <f t="array" ref="A169">LEFT(F169, MIN(FIND({0,1,2,3,4,5,6,7,8,9}, F169 &amp; "0123456789")) - 1)</f>
        <v>VD</v>
      </c>
      <c r="B169" s="1">
        <f t="shared" si="4"/>
        <v>336</v>
      </c>
      <c r="C169" s="1">
        <v>504</v>
      </c>
      <c r="D169" s="1">
        <f t="shared" si="5"/>
        <v>12</v>
      </c>
      <c r="E169" s="1" t="s">
        <v>1001</v>
      </c>
      <c r="F169" s="1" t="s">
        <v>1169</v>
      </c>
      <c r="G169" s="25" t="s">
        <v>1170</v>
      </c>
    </row>
    <row r="170" spans="1:7" ht="24.95" customHeight="1">
      <c r="A170" s="5" t="str">
        <f t="array" ref="A170">LEFT(F170, MIN(FIND({0,1,2,3,4,5,6,7,8,9}, F170 &amp; "0123456789")) - 1)</f>
        <v>VD</v>
      </c>
      <c r="B170" s="1">
        <f t="shared" si="4"/>
        <v>340</v>
      </c>
      <c r="C170" s="1">
        <v>508</v>
      </c>
      <c r="D170" s="1">
        <f t="shared" si="5"/>
        <v>17</v>
      </c>
      <c r="E170" s="1" t="s">
        <v>1246</v>
      </c>
      <c r="F170" s="1" t="s">
        <v>1171</v>
      </c>
      <c r="G170" s="25" t="s">
        <v>176</v>
      </c>
    </row>
    <row r="171" spans="1:7" ht="24.95" customHeight="1">
      <c r="A171" s="5" t="str">
        <f t="array" ref="A171">LEFT(F171, MIN(FIND({0,1,2,3,4,5,6,7,8,9}, F171 &amp; "0123456789")) - 1)</f>
        <v>VD</v>
      </c>
      <c r="B171" s="1">
        <f t="shared" si="4"/>
        <v>344</v>
      </c>
      <c r="C171" s="1">
        <v>512</v>
      </c>
      <c r="D171" s="1">
        <f t="shared" si="5"/>
        <v>20</v>
      </c>
      <c r="E171" s="1" t="s">
        <v>1247</v>
      </c>
      <c r="F171" s="1" t="s">
        <v>1049</v>
      </c>
      <c r="G171" s="25" t="s">
        <v>1172</v>
      </c>
    </row>
    <row r="172" spans="1:7" ht="24.95" customHeight="1">
      <c r="A172" s="5" t="str">
        <f t="array" ref="A172">LEFT(F172, MIN(FIND({0,1,2,3,4,5,6,7,8,9}, F172 &amp; "0123456789")) - 1)</f>
        <v>VD</v>
      </c>
      <c r="B172" s="1">
        <f t="shared" si="4"/>
        <v>348</v>
      </c>
      <c r="C172" s="1">
        <v>516</v>
      </c>
      <c r="D172" s="1">
        <f t="shared" si="5"/>
        <v>22</v>
      </c>
      <c r="E172" s="1" t="s">
        <v>1248</v>
      </c>
      <c r="F172" s="1" t="s">
        <v>1050</v>
      </c>
      <c r="G172" s="25" t="s">
        <v>1173</v>
      </c>
    </row>
    <row r="173" spans="1:7" ht="24.95" customHeight="1">
      <c r="A173" s="5" t="str">
        <f t="array" ref="A173">LEFT(F173, MIN(FIND({0,1,2,3,4,5,6,7,8,9}, F173 &amp; "0123456789")) - 1)</f>
        <v>VD</v>
      </c>
      <c r="B173" s="1">
        <f t="shared" si="4"/>
        <v>352</v>
      </c>
      <c r="C173" s="1"/>
      <c r="D173" s="1">
        <f t="shared" si="5"/>
        <v>16</v>
      </c>
      <c r="E173" s="38" t="s">
        <v>876</v>
      </c>
      <c r="F173" s="1" t="s">
        <v>1051</v>
      </c>
      <c r="G173" s="25" t="s">
        <v>1013</v>
      </c>
    </row>
    <row r="174" spans="1:7" ht="24.95" customHeight="1">
      <c r="A174" s="5" t="str">
        <f t="array" ref="A174">LEFT(F174, MIN(FIND({0,1,2,3,4,5,6,7,8,9}, F174 &amp; "0123456789")) - 1)</f>
        <v>VD</v>
      </c>
      <c r="B174" s="1">
        <f t="shared" si="4"/>
        <v>356</v>
      </c>
      <c r="C174" s="1"/>
      <c r="D174" s="1">
        <f t="shared" si="5"/>
        <v>16</v>
      </c>
      <c r="E174" s="38" t="s">
        <v>877</v>
      </c>
      <c r="F174" s="1" t="s">
        <v>1052</v>
      </c>
      <c r="G174" s="25" t="s">
        <v>1014</v>
      </c>
    </row>
    <row r="175" spans="1:7" ht="24.95" customHeight="1">
      <c r="A175" s="5" t="str">
        <f t="array" ref="A175">LEFT(F175, MIN(FIND({0,1,2,3,4,5,6,7,8,9}, F175 &amp; "0123456789")) - 1)</f>
        <v>VD</v>
      </c>
      <c r="B175" s="1">
        <f t="shared" si="4"/>
        <v>360</v>
      </c>
      <c r="C175" s="1">
        <v>520</v>
      </c>
      <c r="D175" s="1">
        <f t="shared" si="5"/>
        <v>16</v>
      </c>
      <c r="E175" s="1" t="s">
        <v>878</v>
      </c>
      <c r="F175" s="1" t="s">
        <v>1053</v>
      </c>
      <c r="G175" s="25" t="s">
        <v>1015</v>
      </c>
    </row>
    <row r="176" spans="1:7" ht="24.95" customHeight="1">
      <c r="A176" s="5" t="str">
        <f t="array" ref="A176">LEFT(F176, MIN(FIND({0,1,2,3,4,5,6,7,8,9}, F176 &amp; "0123456789")) - 1)</f>
        <v>VD</v>
      </c>
      <c r="B176" s="1">
        <f t="shared" si="4"/>
        <v>364</v>
      </c>
      <c r="C176" s="1">
        <v>524</v>
      </c>
      <c r="D176" s="1">
        <f t="shared" si="5"/>
        <v>16</v>
      </c>
      <c r="E176" s="1" t="s">
        <v>879</v>
      </c>
      <c r="F176" s="1" t="s">
        <v>1054</v>
      </c>
      <c r="G176" s="25" t="s">
        <v>1016</v>
      </c>
    </row>
    <row r="177" spans="1:7" ht="24.95" customHeight="1">
      <c r="A177" s="5" t="str">
        <f t="array" ref="A177">LEFT(F177, MIN(FIND({0,1,2,3,4,5,6,7,8,9}, F177 &amp; "0123456789")) - 1)</f>
        <v>VD</v>
      </c>
      <c r="B177" s="1">
        <f t="shared" si="4"/>
        <v>368</v>
      </c>
      <c r="C177" s="1"/>
      <c r="D177" s="1">
        <f t="shared" si="5"/>
        <v>16</v>
      </c>
      <c r="E177" s="1" t="s">
        <v>880</v>
      </c>
      <c r="F177" s="1" t="s">
        <v>1055</v>
      </c>
      <c r="G177" s="25" t="s">
        <v>1017</v>
      </c>
    </row>
    <row r="178" spans="1:7" ht="24.95" customHeight="1">
      <c r="A178" s="5" t="str">
        <f t="array" ref="A178">LEFT(F178, MIN(FIND({0,1,2,3,4,5,6,7,8,9}, F178 &amp; "0123456789")) - 1)</f>
        <v>VD</v>
      </c>
      <c r="B178" s="1">
        <f t="shared" si="4"/>
        <v>372</v>
      </c>
      <c r="C178" s="1"/>
      <c r="D178" s="1">
        <f t="shared" si="5"/>
        <v>16</v>
      </c>
      <c r="E178" s="1" t="s">
        <v>881</v>
      </c>
      <c r="F178" s="7" t="s">
        <v>1056</v>
      </c>
      <c r="G178" s="25" t="s">
        <v>1018</v>
      </c>
    </row>
    <row r="179" spans="1:7" ht="24.95" customHeight="1">
      <c r="A179" s="5" t="str">
        <f t="array" ref="A179">LEFT(F179, MIN(FIND({0,1,2,3,4,5,6,7,8,9}, F179 &amp; "0123456789")) - 1)</f>
        <v>VD</v>
      </c>
      <c r="B179" s="1">
        <f t="shared" si="4"/>
        <v>376</v>
      </c>
      <c r="C179" s="1"/>
      <c r="D179" s="1">
        <f t="shared" si="5"/>
        <v>16</v>
      </c>
      <c r="E179" s="1" t="s">
        <v>882</v>
      </c>
      <c r="F179" s="1" t="s">
        <v>1057</v>
      </c>
      <c r="G179" s="25" t="s">
        <v>1019</v>
      </c>
    </row>
    <row r="180" spans="1:7" ht="24.95" customHeight="1">
      <c r="A180" s="5" t="str">
        <f t="array" ref="A180">LEFT(F180, MIN(FIND({0,1,2,3,4,5,6,7,8,9}, F180 &amp; "0123456789")) - 1)</f>
        <v>VD</v>
      </c>
      <c r="B180" s="1">
        <f t="shared" si="4"/>
        <v>380</v>
      </c>
      <c r="C180" s="1">
        <v>640</v>
      </c>
      <c r="D180" s="1">
        <f t="shared" si="5"/>
        <v>16</v>
      </c>
      <c r="E180" s="1" t="s">
        <v>883</v>
      </c>
      <c r="F180" s="1" t="s">
        <v>1058</v>
      </c>
      <c r="G180" s="25" t="s">
        <v>1020</v>
      </c>
    </row>
    <row r="181" spans="1:7" ht="24.95" customHeight="1">
      <c r="A181" s="5" t="str">
        <f t="array" ref="A181">LEFT(F181, MIN(FIND({0,1,2,3,4,5,6,7,8,9}, F181 &amp; "0123456789")) - 1)</f>
        <v>VD</v>
      </c>
      <c r="B181" s="1">
        <f t="shared" si="4"/>
        <v>384</v>
      </c>
      <c r="C181" s="1">
        <v>644</v>
      </c>
      <c r="D181" s="1">
        <f t="shared" si="5"/>
        <v>16</v>
      </c>
      <c r="E181" s="1" t="s">
        <v>884</v>
      </c>
      <c r="F181" s="1" t="s">
        <v>1059</v>
      </c>
      <c r="G181" s="25" t="s">
        <v>1021</v>
      </c>
    </row>
    <row r="182" spans="1:7" ht="24.95" customHeight="1">
      <c r="A182" s="5" t="str">
        <f t="array" ref="A182">LEFT(F182, MIN(FIND({0,1,2,3,4,5,6,7,8,9}, F182 &amp; "0123456789")) - 1)</f>
        <v>VD</v>
      </c>
      <c r="B182" s="1">
        <f t="shared" si="4"/>
        <v>388</v>
      </c>
      <c r="C182" s="1">
        <v>648</v>
      </c>
      <c r="D182" s="1">
        <f t="shared" si="5"/>
        <v>17</v>
      </c>
      <c r="E182" s="1" t="s">
        <v>885</v>
      </c>
      <c r="F182" s="1" t="s">
        <v>1060</v>
      </c>
      <c r="G182" s="25" t="s">
        <v>1022</v>
      </c>
    </row>
    <row r="183" spans="1:7" ht="24.95" customHeight="1">
      <c r="A183" s="5" t="str">
        <f t="array" ref="A183">LEFT(F183, MIN(FIND({0,1,2,3,4,5,6,7,8,9}, F183 &amp; "0123456789")) - 1)</f>
        <v>VD</v>
      </c>
      <c r="B183" s="1">
        <f t="shared" si="4"/>
        <v>392</v>
      </c>
      <c r="C183" s="1">
        <v>652</v>
      </c>
      <c r="D183" s="1">
        <f t="shared" si="5"/>
        <v>17</v>
      </c>
      <c r="E183" s="5" t="s">
        <v>886</v>
      </c>
      <c r="F183" s="1" t="s">
        <v>1061</v>
      </c>
      <c r="G183" s="25" t="s">
        <v>1023</v>
      </c>
    </row>
    <row r="184" spans="1:7" ht="24.95" customHeight="1">
      <c r="A184" s="5" t="str">
        <f t="array" ref="A184">LEFT(F184, MIN(FIND({0,1,2,3,4,5,6,7,8,9}, F184 &amp; "0123456789")) - 1)</f>
        <v>VD</v>
      </c>
      <c r="B184" s="1">
        <f t="shared" si="4"/>
        <v>396</v>
      </c>
      <c r="C184" s="1">
        <v>68</v>
      </c>
      <c r="D184" s="1">
        <f t="shared" si="5"/>
        <v>17</v>
      </c>
      <c r="E184" s="1" t="s">
        <v>887</v>
      </c>
      <c r="F184" s="1" t="s">
        <v>1062</v>
      </c>
      <c r="G184" s="25" t="s">
        <v>1024</v>
      </c>
    </row>
    <row r="185" spans="1:7" ht="24.95" customHeight="1">
      <c r="A185" s="5" t="str">
        <f t="array" ref="A185">LEFT(F185, MIN(FIND({0,1,2,3,4,5,6,7,8,9}, F185 &amp; "0123456789")) - 1)</f>
        <v>VD</v>
      </c>
      <c r="B185" s="1">
        <f t="shared" si="4"/>
        <v>400</v>
      </c>
      <c r="C185" s="1">
        <v>320</v>
      </c>
      <c r="D185" s="1">
        <f t="shared" si="5"/>
        <v>17</v>
      </c>
      <c r="E185" s="38" t="s">
        <v>888</v>
      </c>
      <c r="F185" s="7" t="s">
        <v>1063</v>
      </c>
      <c r="G185" s="25" t="s">
        <v>1025</v>
      </c>
    </row>
    <row r="186" spans="1:7" ht="24.95" customHeight="1">
      <c r="A186" s="5" t="str">
        <f t="array" ref="A186">LEFT(F186, MIN(FIND({0,1,2,3,4,5,6,7,8,9}, F186 &amp; "0123456789")) - 1)</f>
        <v>VD</v>
      </c>
      <c r="B186" s="1">
        <f t="shared" si="4"/>
        <v>404</v>
      </c>
      <c r="C186" s="1">
        <v>72</v>
      </c>
      <c r="D186" s="1">
        <f t="shared" si="5"/>
        <v>17</v>
      </c>
      <c r="E186" s="1" t="s">
        <v>889</v>
      </c>
      <c r="F186" s="1" t="s">
        <v>1064</v>
      </c>
      <c r="G186" s="25" t="s">
        <v>1026</v>
      </c>
    </row>
    <row r="187" spans="1:7" ht="24.95" customHeight="1">
      <c r="A187" s="5" t="str">
        <f t="array" ref="A187">LEFT(F187, MIN(FIND({0,1,2,3,4,5,6,7,8,9}, F187 &amp; "0123456789")) - 1)</f>
        <v>VD</v>
      </c>
      <c r="B187" s="1">
        <f t="shared" si="4"/>
        <v>408</v>
      </c>
      <c r="C187" s="1">
        <v>76</v>
      </c>
      <c r="D187" s="1">
        <f t="shared" si="5"/>
        <v>17</v>
      </c>
      <c r="E187" s="1" t="s">
        <v>890</v>
      </c>
      <c r="F187" s="1" t="s">
        <v>1065</v>
      </c>
      <c r="G187" s="25" t="s">
        <v>1027</v>
      </c>
    </row>
    <row r="188" spans="1:7" ht="24.95" customHeight="1">
      <c r="A188" s="5" t="str">
        <f t="array" ref="A188">LEFT(F188, MIN(FIND({0,1,2,3,4,5,6,7,8,9}, F188 &amp; "0123456789")) - 1)</f>
        <v>VD</v>
      </c>
      <c r="B188" s="1">
        <f t="shared" si="4"/>
        <v>412</v>
      </c>
      <c r="C188" s="1">
        <v>324</v>
      </c>
      <c r="D188" s="1">
        <f t="shared" si="5"/>
        <v>17</v>
      </c>
      <c r="E188" s="1" t="s">
        <v>891</v>
      </c>
      <c r="F188" s="7" t="s">
        <v>1066</v>
      </c>
      <c r="G188" s="25" t="s">
        <v>1028</v>
      </c>
    </row>
    <row r="189" spans="1:7" ht="24.95" customHeight="1">
      <c r="A189" s="5" t="str">
        <f t="array" ref="A189">LEFT(F189, MIN(FIND({0,1,2,3,4,5,6,7,8,9}, F189 &amp; "0123456789")) - 1)</f>
        <v>VD</v>
      </c>
      <c r="B189" s="1">
        <f t="shared" si="4"/>
        <v>416</v>
      </c>
      <c r="C189" s="1">
        <v>328</v>
      </c>
      <c r="D189" s="1">
        <f t="shared" si="5"/>
        <v>17</v>
      </c>
      <c r="E189" s="1" t="s">
        <v>892</v>
      </c>
      <c r="F189" s="1" t="s">
        <v>1067</v>
      </c>
      <c r="G189" s="25" t="s">
        <v>1029</v>
      </c>
    </row>
    <row r="190" spans="1:7" ht="24.95" customHeight="1">
      <c r="A190" s="5" t="str">
        <f t="array" ref="A190">LEFT(F190, MIN(FIND({0,1,2,3,4,5,6,7,8,9}, F190 &amp; "0123456789")) - 1)</f>
        <v>VD</v>
      </c>
      <c r="B190" s="1">
        <f t="shared" si="4"/>
        <v>420</v>
      </c>
      <c r="C190" s="1">
        <v>332</v>
      </c>
      <c r="D190" s="1">
        <f t="shared" si="5"/>
        <v>17</v>
      </c>
      <c r="E190" s="1" t="s">
        <v>893</v>
      </c>
      <c r="F190" s="1" t="s">
        <v>1068</v>
      </c>
      <c r="G190" s="25" t="s">
        <v>1030</v>
      </c>
    </row>
    <row r="191" spans="1:7" ht="24.95" customHeight="1">
      <c r="A191" s="5" t="str">
        <f t="array" ref="A191">LEFT(F191, MIN(FIND({0,1,2,3,4,5,6,7,8,9}, F191 &amp; "0123456789")) - 1)</f>
        <v>VD</v>
      </c>
      <c r="B191" s="1">
        <f t="shared" si="4"/>
        <v>424</v>
      </c>
      <c r="C191" s="1">
        <v>336</v>
      </c>
      <c r="D191" s="1">
        <f t="shared" si="5"/>
        <v>20</v>
      </c>
      <c r="E191" s="1" t="s">
        <v>1249</v>
      </c>
      <c r="F191" s="1" t="s">
        <v>1069</v>
      </c>
      <c r="G191" s="25" t="s">
        <v>1174</v>
      </c>
    </row>
    <row r="192" spans="1:7" ht="24.95" customHeight="1">
      <c r="A192" s="5" t="str">
        <f t="array" ref="A192">LEFT(F192, MIN(FIND({0,1,2,3,4,5,6,7,8,9}, F192 &amp; "0123456789")) - 1)</f>
        <v>VD</v>
      </c>
      <c r="B192" s="1">
        <f t="shared" si="4"/>
        <v>428</v>
      </c>
      <c r="C192" s="1">
        <v>340</v>
      </c>
      <c r="D192" s="1">
        <f t="shared" si="5"/>
        <v>22</v>
      </c>
      <c r="E192" s="1" t="s">
        <v>1250</v>
      </c>
      <c r="F192" s="1" t="s">
        <v>1070</v>
      </c>
      <c r="G192" s="25" t="s">
        <v>1175</v>
      </c>
    </row>
    <row r="193" spans="1:7" ht="24.95" customHeight="1">
      <c r="A193" s="5" t="str">
        <f t="array" ref="A193">LEFT(F193, MIN(FIND({0,1,2,3,4,5,6,7,8,9}, F193 &amp; "0123456789")) - 1)</f>
        <v>VD</v>
      </c>
      <c r="B193" s="1">
        <f t="shared" si="4"/>
        <v>432</v>
      </c>
      <c r="C193" s="1">
        <v>344</v>
      </c>
      <c r="D193" s="1">
        <f t="shared" si="5"/>
        <v>16</v>
      </c>
      <c r="E193" s="1" t="s">
        <v>894</v>
      </c>
      <c r="F193" s="7" t="s">
        <v>1071</v>
      </c>
      <c r="G193" s="25" t="s">
        <v>1031</v>
      </c>
    </row>
    <row r="194" spans="1:7" ht="24.95" customHeight="1">
      <c r="A194" s="5" t="str">
        <f t="array" ref="A194">LEFT(F194, MIN(FIND({0,1,2,3,4,5,6,7,8,9}, F194 &amp; "0123456789")) - 1)</f>
        <v>VD</v>
      </c>
      <c r="B194" s="1">
        <f t="shared" ref="B194:B257" si="6">VALUE(RIGHT(F194,LEN(F194)-LEN(A194)))</f>
        <v>436</v>
      </c>
      <c r="C194" s="1">
        <v>348</v>
      </c>
      <c r="D194" s="1">
        <f t="shared" ref="D194:D257" si="7">LEN(E194)</f>
        <v>16</v>
      </c>
      <c r="E194" s="1" t="s">
        <v>895</v>
      </c>
      <c r="F194" s="1" t="s">
        <v>1072</v>
      </c>
      <c r="G194" s="25" t="s">
        <v>1032</v>
      </c>
    </row>
    <row r="195" spans="1:7" ht="24.95" customHeight="1">
      <c r="A195" s="5" t="str">
        <f t="array" ref="A195">LEFT(F195, MIN(FIND({0,1,2,3,4,5,6,7,8,9}, F195 &amp; "0123456789")) - 1)</f>
        <v>VD</v>
      </c>
      <c r="B195" s="1">
        <f t="shared" si="6"/>
        <v>440</v>
      </c>
      <c r="C195" s="1">
        <v>352</v>
      </c>
      <c r="D195" s="1">
        <f t="shared" si="7"/>
        <v>16</v>
      </c>
      <c r="E195" s="1" t="s">
        <v>896</v>
      </c>
      <c r="F195" s="1" t="s">
        <v>1073</v>
      </c>
      <c r="G195" s="25" t="s">
        <v>1033</v>
      </c>
    </row>
    <row r="196" spans="1:7" ht="24.95" customHeight="1">
      <c r="A196" s="5" t="str">
        <f t="array" ref="A196">LEFT(F196, MIN(FIND({0,1,2,3,4,5,6,7,8,9}, F196 &amp; "0123456789")) - 1)</f>
        <v>VD</v>
      </c>
      <c r="B196" s="1">
        <f t="shared" si="6"/>
        <v>444</v>
      </c>
      <c r="C196" s="1">
        <v>356</v>
      </c>
      <c r="D196" s="1">
        <f t="shared" si="7"/>
        <v>16</v>
      </c>
      <c r="E196" s="1" t="s">
        <v>897</v>
      </c>
      <c r="F196" s="1" t="s">
        <v>1074</v>
      </c>
      <c r="G196" s="25" t="s">
        <v>1034</v>
      </c>
    </row>
    <row r="197" spans="1:7" ht="24.95" customHeight="1">
      <c r="A197" s="5" t="str">
        <f t="array" ref="A197">LEFT(F197, MIN(FIND({0,1,2,3,4,5,6,7,8,9}, F197 &amp; "0123456789")) - 1)</f>
        <v>VD</v>
      </c>
      <c r="B197" s="1">
        <f t="shared" si="6"/>
        <v>448</v>
      </c>
      <c r="C197" s="1"/>
      <c r="D197" s="1">
        <f t="shared" si="7"/>
        <v>16</v>
      </c>
      <c r="E197" s="1" t="s">
        <v>898</v>
      </c>
      <c r="F197" s="1" t="s">
        <v>1075</v>
      </c>
      <c r="G197" s="33" t="s">
        <v>1035</v>
      </c>
    </row>
    <row r="198" spans="1:7" ht="24.95" customHeight="1">
      <c r="A198" s="5" t="str">
        <f t="array" ref="A198">LEFT(F198, MIN(FIND({0,1,2,3,4,5,6,7,8,9}, F198 &amp; "0123456789")) - 1)</f>
        <v>VD</v>
      </c>
      <c r="B198" s="1">
        <f t="shared" si="6"/>
        <v>452</v>
      </c>
      <c r="C198" s="1"/>
      <c r="D198" s="1">
        <f t="shared" si="7"/>
        <v>16</v>
      </c>
      <c r="E198" s="1" t="s">
        <v>899</v>
      </c>
      <c r="F198" s="1" t="s">
        <v>1076</v>
      </c>
      <c r="G198" s="25" t="s">
        <v>1036</v>
      </c>
    </row>
    <row r="199" spans="1:7" ht="24.95" customHeight="1">
      <c r="A199" s="5" t="str">
        <f t="array" ref="A199">LEFT(F199, MIN(FIND({0,1,2,3,4,5,6,7,8,9}, F199 &amp; "0123456789")) - 1)</f>
        <v>VD</v>
      </c>
      <c r="B199" s="1">
        <f t="shared" si="6"/>
        <v>456</v>
      </c>
      <c r="C199" s="1"/>
      <c r="D199" s="1">
        <f t="shared" si="7"/>
        <v>16</v>
      </c>
      <c r="E199" s="1" t="s">
        <v>900</v>
      </c>
      <c r="F199" s="1" t="s">
        <v>1077</v>
      </c>
      <c r="G199" s="25" t="s">
        <v>1037</v>
      </c>
    </row>
    <row r="200" spans="1:7" ht="24.95" customHeight="1">
      <c r="A200" s="5" t="str">
        <f t="array" ref="A200">LEFT(F200, MIN(FIND({0,1,2,3,4,5,6,7,8,9}, F200 &amp; "0123456789")) - 1)</f>
        <v>VD</v>
      </c>
      <c r="B200" s="1">
        <f t="shared" si="6"/>
        <v>460</v>
      </c>
      <c r="C200" s="1"/>
      <c r="D200" s="1">
        <f t="shared" si="7"/>
        <v>16</v>
      </c>
      <c r="E200" s="1" t="s">
        <v>901</v>
      </c>
      <c r="F200" s="1" t="s">
        <v>1078</v>
      </c>
      <c r="G200" s="25" t="s">
        <v>1038</v>
      </c>
    </row>
    <row r="201" spans="1:7" ht="24.95" customHeight="1">
      <c r="A201" s="5" t="str">
        <f t="array" ref="A201">LEFT(F201, MIN(FIND({0,1,2,3,4,5,6,7,8,9}, F201 &amp; "0123456789")) - 1)</f>
        <v>VD</v>
      </c>
      <c r="B201" s="1">
        <f t="shared" si="6"/>
        <v>464</v>
      </c>
      <c r="C201" s="1"/>
      <c r="D201" s="1">
        <f t="shared" si="7"/>
        <v>16</v>
      </c>
      <c r="E201" s="1" t="s">
        <v>902</v>
      </c>
      <c r="F201" s="1" t="s">
        <v>1079</v>
      </c>
      <c r="G201" s="59" t="s">
        <v>1039</v>
      </c>
    </row>
    <row r="202" spans="1:7" ht="24.95" customHeight="1">
      <c r="A202" s="5" t="str">
        <f t="array" ref="A202">LEFT(F202, MIN(FIND({0,1,2,3,4,5,6,7,8,9}, F202 &amp; "0123456789")) - 1)</f>
        <v>VD</v>
      </c>
      <c r="B202" s="1">
        <f t="shared" si="6"/>
        <v>468</v>
      </c>
      <c r="C202" s="1"/>
      <c r="D202" s="1">
        <f t="shared" si="7"/>
        <v>17</v>
      </c>
      <c r="E202" s="1" t="s">
        <v>903</v>
      </c>
      <c r="F202" s="1" t="s">
        <v>1080</v>
      </c>
      <c r="G202" s="25" t="s">
        <v>1040</v>
      </c>
    </row>
    <row r="203" spans="1:7" ht="24.95" customHeight="1">
      <c r="A203" s="5" t="str">
        <f t="array" ref="A203">LEFT(F203, MIN(FIND({0,1,2,3,4,5,6,7,8,9}, F203 &amp; "0123456789")) - 1)</f>
        <v>VD</v>
      </c>
      <c r="B203" s="1">
        <f t="shared" si="6"/>
        <v>472</v>
      </c>
      <c r="C203" s="1"/>
      <c r="D203" s="1">
        <f t="shared" si="7"/>
        <v>17</v>
      </c>
      <c r="E203" s="1" t="s">
        <v>904</v>
      </c>
      <c r="F203" s="1" t="s">
        <v>1081</v>
      </c>
      <c r="G203" s="25" t="s">
        <v>1041</v>
      </c>
    </row>
    <row r="204" spans="1:7" ht="24.95" customHeight="1">
      <c r="A204" s="5" t="str">
        <f t="array" ref="A204">LEFT(F204, MIN(FIND({0,1,2,3,4,5,6,7,8,9}, F204 &amp; "0123456789")) - 1)</f>
        <v>VD</v>
      </c>
      <c r="B204" s="1">
        <f t="shared" si="6"/>
        <v>476</v>
      </c>
      <c r="C204" s="1"/>
      <c r="D204" s="1">
        <f t="shared" si="7"/>
        <v>17</v>
      </c>
      <c r="E204" s="1" t="s">
        <v>905</v>
      </c>
      <c r="F204" s="1" t="s">
        <v>1082</v>
      </c>
      <c r="G204" s="25" t="s">
        <v>1042</v>
      </c>
    </row>
    <row r="205" spans="1:7" ht="24.95" customHeight="1">
      <c r="A205" s="5" t="str">
        <f t="array" ref="A205">LEFT(F205, MIN(FIND({0,1,2,3,4,5,6,7,8,9}, F205 &amp; "0123456789")) - 1)</f>
        <v>VD</v>
      </c>
      <c r="B205" s="1">
        <f t="shared" si="6"/>
        <v>480</v>
      </c>
      <c r="C205" s="1"/>
      <c r="D205" s="1">
        <f t="shared" si="7"/>
        <v>17</v>
      </c>
      <c r="E205" s="1" t="s">
        <v>906</v>
      </c>
      <c r="F205" s="1" t="s">
        <v>1083</v>
      </c>
      <c r="G205" s="25" t="s">
        <v>1043</v>
      </c>
    </row>
    <row r="206" spans="1:7" ht="24.95" customHeight="1">
      <c r="A206" s="5" t="str">
        <f t="array" ref="A206">LEFT(F206, MIN(FIND({0,1,2,3,4,5,6,7,8,9}, F206 &amp; "0123456789")) - 1)</f>
        <v>VD</v>
      </c>
      <c r="B206" s="1">
        <f t="shared" si="6"/>
        <v>484</v>
      </c>
      <c r="C206" s="1"/>
      <c r="D206" s="1">
        <f t="shared" si="7"/>
        <v>17</v>
      </c>
      <c r="E206" s="38" t="s">
        <v>907</v>
      </c>
      <c r="F206" s="1" t="s">
        <v>1084</v>
      </c>
      <c r="G206" s="25" t="s">
        <v>1044</v>
      </c>
    </row>
    <row r="207" spans="1:7" ht="24.95" customHeight="1">
      <c r="A207" s="5" t="str">
        <f t="array" ref="A207">LEFT(F207, MIN(FIND({0,1,2,3,4,5,6,7,8,9}, F207 &amp; "0123456789")) - 1)</f>
        <v>VD</v>
      </c>
      <c r="B207" s="1">
        <f t="shared" si="6"/>
        <v>488</v>
      </c>
      <c r="C207" s="1"/>
      <c r="D207" s="1">
        <f t="shared" si="7"/>
        <v>17</v>
      </c>
      <c r="E207" s="38" t="s">
        <v>908</v>
      </c>
      <c r="F207" s="38" t="s">
        <v>1085</v>
      </c>
      <c r="G207" s="25" t="s">
        <v>1045</v>
      </c>
    </row>
    <row r="208" spans="1:7" ht="24.95" customHeight="1">
      <c r="A208" s="5" t="str">
        <f t="array" ref="A208">LEFT(F208, MIN(FIND({0,1,2,3,4,5,6,7,8,9}, F208 &amp; "0123456789")) - 1)</f>
        <v>VD</v>
      </c>
      <c r="B208" s="1">
        <f t="shared" si="6"/>
        <v>492</v>
      </c>
      <c r="C208" s="1"/>
      <c r="D208" s="1">
        <f t="shared" si="7"/>
        <v>17</v>
      </c>
      <c r="E208" s="1" t="s">
        <v>909</v>
      </c>
      <c r="F208" s="1" t="s">
        <v>1086</v>
      </c>
      <c r="G208" s="25" t="s">
        <v>1046</v>
      </c>
    </row>
    <row r="209" spans="1:7" ht="24.95" customHeight="1">
      <c r="A209" s="5" t="str">
        <f t="array" ref="A209">LEFT(F209, MIN(FIND({0,1,2,3,4,5,6,7,8,9}, F209 &amp; "0123456789")) - 1)</f>
        <v>VD</v>
      </c>
      <c r="B209" s="1">
        <f t="shared" si="6"/>
        <v>496</v>
      </c>
      <c r="C209" s="1"/>
      <c r="D209" s="1">
        <f t="shared" si="7"/>
        <v>17</v>
      </c>
      <c r="E209" s="1" t="s">
        <v>910</v>
      </c>
      <c r="F209" s="1" t="s">
        <v>1087</v>
      </c>
      <c r="G209" s="25" t="s">
        <v>1047</v>
      </c>
    </row>
    <row r="210" spans="1:7" ht="24.95" customHeight="1">
      <c r="A210" s="5" t="str">
        <f t="array" ref="A210">LEFT(F210, MIN(FIND({0,1,2,3,4,5,6,7,8,9}, F210 &amp; "0123456789")) - 1)</f>
        <v>VD</v>
      </c>
      <c r="B210" s="1">
        <f t="shared" si="6"/>
        <v>500</v>
      </c>
      <c r="C210" s="1"/>
      <c r="D210" s="1">
        <f t="shared" si="7"/>
        <v>17</v>
      </c>
      <c r="E210" s="1" t="s">
        <v>911</v>
      </c>
      <c r="F210" s="7" t="s">
        <v>19</v>
      </c>
      <c r="G210" s="25" t="s">
        <v>1048</v>
      </c>
    </row>
    <row r="211" spans="1:7" ht="24.95" customHeight="1">
      <c r="A211" s="5" t="str">
        <f t="array" ref="A211">LEFT(F211, MIN(FIND({0,1,2,3,4,5,6,7,8,9}, F211 &amp; "0123456789")) - 1)</f>
        <v>VD</v>
      </c>
      <c r="B211" s="1">
        <f t="shared" si="6"/>
        <v>504</v>
      </c>
      <c r="C211" s="1"/>
      <c r="D211" s="1">
        <f t="shared" si="7"/>
        <v>17</v>
      </c>
      <c r="E211" s="1" t="s">
        <v>1251</v>
      </c>
      <c r="F211" s="1" t="s">
        <v>39</v>
      </c>
      <c r="G211" s="25" t="s">
        <v>913</v>
      </c>
    </row>
    <row r="212" spans="1:7" ht="24.95" customHeight="1">
      <c r="A212" s="5" t="str">
        <f t="array" ref="A212">LEFT(F212, MIN(FIND({0,1,2,3,4,5,6,7,8,9}, F212 &amp; "0123456789")) - 1)</f>
        <v>VD</v>
      </c>
      <c r="B212" s="1">
        <f t="shared" si="6"/>
        <v>508</v>
      </c>
      <c r="C212" s="1"/>
      <c r="D212" s="1">
        <f t="shared" si="7"/>
        <v>17</v>
      </c>
      <c r="E212" s="1" t="s">
        <v>1219</v>
      </c>
      <c r="F212" s="1" t="s">
        <v>53</v>
      </c>
      <c r="G212" s="25" t="s">
        <v>912</v>
      </c>
    </row>
    <row r="213" spans="1:7" ht="24.95" customHeight="1">
      <c r="A213" s="5" t="str">
        <f t="array" ref="A213">LEFT(F213, MIN(FIND({0,1,2,3,4,5,6,7,8,9}, F213 &amp; "0123456789")) - 1)</f>
        <v>VD</v>
      </c>
      <c r="B213" s="1">
        <f t="shared" si="6"/>
        <v>512</v>
      </c>
      <c r="C213" s="1"/>
      <c r="D213" s="1">
        <f t="shared" si="7"/>
        <v>17</v>
      </c>
      <c r="E213" s="1" t="s">
        <v>1220</v>
      </c>
      <c r="F213" s="1" t="s">
        <v>62</v>
      </c>
      <c r="G213" s="25" t="s">
        <v>914</v>
      </c>
    </row>
    <row r="214" spans="1:7" ht="24.95" customHeight="1">
      <c r="A214" s="5" t="str">
        <f t="array" ref="A214">LEFT(F214, MIN(FIND({0,1,2,3,4,5,6,7,8,9}, F214 &amp; "0123456789")) - 1)</f>
        <v>VD</v>
      </c>
      <c r="B214" s="1">
        <f t="shared" si="6"/>
        <v>516</v>
      </c>
      <c r="C214" s="1"/>
      <c r="D214" s="1">
        <f t="shared" si="7"/>
        <v>17</v>
      </c>
      <c r="E214" s="1" t="s">
        <v>1221</v>
      </c>
      <c r="F214" s="1" t="s">
        <v>72</v>
      </c>
      <c r="G214" s="25" t="s">
        <v>915</v>
      </c>
    </row>
    <row r="215" spans="1:7" ht="24.95" customHeight="1">
      <c r="A215" s="5" t="str">
        <f t="array" ref="A215">LEFT(F215, MIN(FIND({0,1,2,3,4,5,6,7,8,9}, F215 &amp; "0123456789")) - 1)</f>
        <v>VD</v>
      </c>
      <c r="B215" s="1">
        <f t="shared" si="6"/>
        <v>520</v>
      </c>
      <c r="C215" s="1"/>
      <c r="D215" s="1">
        <f t="shared" si="7"/>
        <v>17</v>
      </c>
      <c r="E215" s="1" t="s">
        <v>1222</v>
      </c>
      <c r="F215" s="1" t="s">
        <v>83</v>
      </c>
      <c r="G215" s="25" t="s">
        <v>916</v>
      </c>
    </row>
    <row r="216" spans="1:7" ht="24.95" customHeight="1">
      <c r="A216" s="5" t="str">
        <f t="array" ref="A216">LEFT(F216, MIN(FIND({0,1,2,3,4,5,6,7,8,9}, F216 &amp; "0123456789")) - 1)</f>
        <v>VD</v>
      </c>
      <c r="B216" s="1">
        <f t="shared" si="6"/>
        <v>524</v>
      </c>
      <c r="C216" s="1"/>
      <c r="D216" s="1">
        <f t="shared" si="7"/>
        <v>17</v>
      </c>
      <c r="E216" s="1" t="s">
        <v>1223</v>
      </c>
      <c r="F216" s="1" t="s">
        <v>92</v>
      </c>
      <c r="G216" s="25" t="s">
        <v>917</v>
      </c>
    </row>
    <row r="217" spans="1:7" ht="24.95" customHeight="1">
      <c r="A217" s="5" t="str">
        <f t="array" ref="A217">LEFT(F217, MIN(FIND({0,1,2,3,4,5,6,7,8,9}, F217 &amp; "0123456789")) - 1)</f>
        <v>VD</v>
      </c>
      <c r="B217" s="1">
        <f t="shared" si="6"/>
        <v>586</v>
      </c>
      <c r="C217" s="1"/>
      <c r="D217" s="1">
        <f t="shared" si="7"/>
        <v>20</v>
      </c>
      <c r="E217" s="1" t="s">
        <v>1558</v>
      </c>
      <c r="F217" s="1" t="s">
        <v>1559</v>
      </c>
      <c r="G217" s="25" t="s">
        <v>1560</v>
      </c>
    </row>
    <row r="218" spans="1:7" ht="24.95" customHeight="1">
      <c r="A218" s="5" t="str">
        <f t="array" ref="A218">LEFT(F218, MIN(FIND({0,1,2,3,4,5,6,7,8,9}, F218 &amp; "0123456789")) - 1)</f>
        <v>VD</v>
      </c>
      <c r="B218" s="1">
        <f t="shared" si="6"/>
        <v>1640</v>
      </c>
      <c r="C218" s="1"/>
      <c r="D218" s="1">
        <f t="shared" si="7"/>
        <v>16</v>
      </c>
      <c r="E218" s="1" t="s">
        <v>1385</v>
      </c>
      <c r="F218" s="1" t="s">
        <v>1377</v>
      </c>
      <c r="G218" s="33" t="s">
        <v>1369</v>
      </c>
    </row>
    <row r="219" spans="1:7" ht="24.95" customHeight="1">
      <c r="A219" s="5" t="str">
        <f t="array" ref="A219">LEFT(F219, MIN(FIND({0,1,2,3,4,5,6,7,8,9}, F219 &amp; "0123456789")) - 1)</f>
        <v>VD</v>
      </c>
      <c r="B219" s="1">
        <f t="shared" si="6"/>
        <v>1644</v>
      </c>
      <c r="C219" s="1"/>
      <c r="D219" s="1">
        <f t="shared" si="7"/>
        <v>16</v>
      </c>
      <c r="E219" s="1" t="s">
        <v>1387</v>
      </c>
      <c r="F219" s="1" t="s">
        <v>1379</v>
      </c>
      <c r="G219" s="25" t="s">
        <v>1371</v>
      </c>
    </row>
    <row r="220" spans="1:7" ht="24.95" customHeight="1">
      <c r="A220" s="5" t="str">
        <f t="array" ref="A220">LEFT(F220, MIN(FIND({0,1,2,3,4,5,6,7,8,9}, F220 &amp; "0123456789")) - 1)</f>
        <v>VD</v>
      </c>
      <c r="B220" s="1">
        <f t="shared" si="6"/>
        <v>1648</v>
      </c>
      <c r="C220" s="1"/>
      <c r="D220" s="1">
        <f t="shared" si="7"/>
        <v>17</v>
      </c>
      <c r="E220" s="1" t="s">
        <v>1176</v>
      </c>
      <c r="F220" s="1" t="s">
        <v>1561</v>
      </c>
      <c r="G220" s="25" t="s">
        <v>1562</v>
      </c>
    </row>
    <row r="221" spans="1:7" ht="24.95" customHeight="1">
      <c r="A221" s="5" t="str">
        <f t="array" ref="A221">LEFT(F221, MIN(FIND({0,1,2,3,4,5,6,7,8,9}, F221 &amp; "0123456789")) - 1)</f>
        <v>VD</v>
      </c>
      <c r="B221" s="1">
        <f t="shared" si="6"/>
        <v>1652</v>
      </c>
      <c r="C221" s="1"/>
      <c r="D221" s="1">
        <f t="shared" si="7"/>
        <v>18</v>
      </c>
      <c r="E221" s="1" t="s">
        <v>1177</v>
      </c>
      <c r="F221" s="1" t="s">
        <v>1381</v>
      </c>
      <c r="G221" s="25" t="s">
        <v>1563</v>
      </c>
    </row>
    <row r="222" spans="1:7" ht="24.95" customHeight="1">
      <c r="A222" s="5" t="str">
        <f t="array" ref="A222">LEFT(F222, MIN(FIND({0,1,2,3,4,5,6,7,8,9}, F222 &amp; "0123456789")) - 1)</f>
        <v>VD</v>
      </c>
      <c r="B222" s="1">
        <f t="shared" si="6"/>
        <v>1880</v>
      </c>
      <c r="C222" s="1"/>
      <c r="D222" s="1">
        <f t="shared" si="7"/>
        <v>17</v>
      </c>
      <c r="E222" s="1" t="s">
        <v>1390</v>
      </c>
      <c r="F222" s="1" t="s">
        <v>1383</v>
      </c>
      <c r="G222" s="25" t="s">
        <v>1564</v>
      </c>
    </row>
    <row r="223" spans="1:7" ht="24.95" customHeight="1">
      <c r="A223" s="60" t="str">
        <f t="array" ref="A223">LEFT(F223, MIN(FIND({0,1,2,3,4,5,6,7,8,9}, F223 &amp; "0123456789")) - 1)</f>
        <v>VW</v>
      </c>
      <c r="B223" s="14">
        <f t="shared" si="6"/>
        <v>100</v>
      </c>
      <c r="C223" s="14"/>
      <c r="D223" s="14">
        <f t="shared" si="7"/>
        <v>16</v>
      </c>
      <c r="E223" s="14" t="s">
        <v>1178</v>
      </c>
      <c r="F223" s="13" t="s">
        <v>695</v>
      </c>
      <c r="G223" s="61" t="s">
        <v>1011</v>
      </c>
    </row>
    <row r="224" spans="1:7" ht="24.95" customHeight="1">
      <c r="A224" s="60" t="str">
        <f t="array" ref="A224">LEFT(F224, MIN(FIND({0,1,2,3,4,5,6,7,8,9}, F224 &amp; "0123456789")) - 1)</f>
        <v>VW</v>
      </c>
      <c r="B224" s="14">
        <f t="shared" si="6"/>
        <v>104</v>
      </c>
      <c r="C224" s="14"/>
      <c r="D224" s="14">
        <f t="shared" si="7"/>
        <v>16</v>
      </c>
      <c r="E224" s="1" t="s">
        <v>1179</v>
      </c>
      <c r="F224" s="7" t="s">
        <v>1193</v>
      </c>
      <c r="G224" s="33" t="s">
        <v>80</v>
      </c>
    </row>
    <row r="225" spans="1:7" ht="24.95" customHeight="1">
      <c r="A225" s="60" t="str">
        <f t="array" ref="A225">LEFT(F225, MIN(FIND({0,1,2,3,4,5,6,7,8,9}, F225 &amp; "0123456789")) - 1)</f>
        <v>VW</v>
      </c>
      <c r="B225" s="14">
        <f t="shared" si="6"/>
        <v>108</v>
      </c>
      <c r="C225" s="14"/>
      <c r="D225" s="14">
        <f t="shared" si="7"/>
        <v>22</v>
      </c>
      <c r="E225" s="1" t="s">
        <v>1180</v>
      </c>
      <c r="F225" s="7" t="s">
        <v>1460</v>
      </c>
      <c r="G225" s="33" t="s">
        <v>1181</v>
      </c>
    </row>
    <row r="226" spans="1:7" ht="24.95" customHeight="1">
      <c r="A226" s="60" t="str">
        <f t="array" ref="A226">LEFT(F226, MIN(FIND({0,1,2,3,4,5,6,7,8,9}, F226 &amp; "0123456789")) - 1)</f>
        <v>VW</v>
      </c>
      <c r="B226" s="14">
        <f t="shared" si="6"/>
        <v>112</v>
      </c>
      <c r="C226" s="14"/>
      <c r="D226" s="14">
        <f t="shared" si="7"/>
        <v>22</v>
      </c>
      <c r="E226" s="1" t="s">
        <v>1182</v>
      </c>
      <c r="F226" s="7" t="s">
        <v>1461</v>
      </c>
      <c r="G226" s="33" t="s">
        <v>1183</v>
      </c>
    </row>
    <row r="227" spans="1:7" ht="24.95" customHeight="1">
      <c r="A227" s="60" t="str">
        <f t="array" ref="A227">LEFT(F227, MIN(FIND({0,1,2,3,4,5,6,7,8,9}, F227 &amp; "0123456789")) - 1)</f>
        <v>VW</v>
      </c>
      <c r="B227" s="14">
        <f t="shared" si="6"/>
        <v>116</v>
      </c>
      <c r="C227" s="14"/>
      <c r="D227" s="14">
        <f t="shared" si="7"/>
        <v>22</v>
      </c>
      <c r="E227" s="1" t="s">
        <v>1184</v>
      </c>
      <c r="F227" s="7" t="s">
        <v>1462</v>
      </c>
      <c r="G227" s="33" t="s">
        <v>1185</v>
      </c>
    </row>
    <row r="228" spans="1:7" ht="24.95" customHeight="1">
      <c r="A228" s="60" t="str">
        <f t="array" ref="A228">LEFT(F228, MIN(FIND({0,1,2,3,4,5,6,7,8,9}, F228 &amp; "0123456789")) - 1)</f>
        <v>VW</v>
      </c>
      <c r="B228" s="14">
        <f t="shared" si="6"/>
        <v>120</v>
      </c>
      <c r="C228" s="14"/>
      <c r="D228" s="14">
        <f t="shared" si="7"/>
        <v>22</v>
      </c>
      <c r="E228" s="1" t="s">
        <v>1186</v>
      </c>
      <c r="F228" s="7" t="s">
        <v>1463</v>
      </c>
      <c r="G228" s="33" t="s">
        <v>1187</v>
      </c>
    </row>
    <row r="229" spans="1:7" ht="24.95" customHeight="1">
      <c r="A229" s="60" t="str">
        <f t="array" ref="A229">LEFT(F229, MIN(FIND({0,1,2,3,4,5,6,7,8,9}, F229 &amp; "0123456789")) - 1)</f>
        <v>VW</v>
      </c>
      <c r="B229" s="14">
        <f t="shared" si="6"/>
        <v>124</v>
      </c>
      <c r="C229" s="14"/>
      <c r="D229" s="14">
        <f t="shared" si="7"/>
        <v>22</v>
      </c>
      <c r="E229" s="1" t="s">
        <v>1188</v>
      </c>
      <c r="F229" s="7" t="s">
        <v>1464</v>
      </c>
      <c r="G229" s="33" t="s">
        <v>1189</v>
      </c>
    </row>
    <row r="230" spans="1:7" ht="24.95" customHeight="1">
      <c r="A230" s="60" t="str">
        <f t="array" ref="A230">LEFT(F230, MIN(FIND({0,1,2,3,4,5,6,7,8,9}, F230 &amp; "0123456789")) - 1)</f>
        <v>VW</v>
      </c>
      <c r="B230" s="14">
        <f t="shared" si="6"/>
        <v>128</v>
      </c>
      <c r="C230" s="14"/>
      <c r="D230" s="14">
        <f t="shared" si="7"/>
        <v>22</v>
      </c>
      <c r="E230" s="1" t="s">
        <v>1190</v>
      </c>
      <c r="F230" s="7" t="s">
        <v>1465</v>
      </c>
      <c r="G230" s="33" t="s">
        <v>1191</v>
      </c>
    </row>
    <row r="231" spans="1:7" ht="24.95" customHeight="1">
      <c r="A231" s="60" t="str">
        <f t="array" ref="A231">LEFT(F231, MIN(FIND({0,1,2,3,4,5,6,7,8,9}, F231 &amp; "0123456789")) - 1)</f>
        <v>VW</v>
      </c>
      <c r="B231" s="14">
        <f t="shared" si="6"/>
        <v>132</v>
      </c>
      <c r="C231" s="14"/>
      <c r="D231" s="14">
        <f t="shared" si="7"/>
        <v>19</v>
      </c>
      <c r="E231" s="1" t="s">
        <v>1192</v>
      </c>
      <c r="F231" s="7" t="s">
        <v>1466</v>
      </c>
      <c r="G231" s="33" t="s">
        <v>1194</v>
      </c>
    </row>
    <row r="232" spans="1:7" ht="24.95" customHeight="1">
      <c r="A232" s="60" t="str">
        <f t="array" ref="A232">LEFT(F232, MIN(FIND({0,1,2,3,4,5,6,7,8,9}, F232 &amp; "0123456789")) - 1)</f>
        <v>VW</v>
      </c>
      <c r="B232" s="14">
        <f t="shared" si="6"/>
        <v>136</v>
      </c>
      <c r="C232" s="14"/>
      <c r="D232" s="14">
        <f t="shared" si="7"/>
        <v>21</v>
      </c>
      <c r="E232" s="1" t="s">
        <v>1195</v>
      </c>
      <c r="F232" s="7" t="s">
        <v>1467</v>
      </c>
      <c r="G232" s="33" t="s">
        <v>1196</v>
      </c>
    </row>
    <row r="233" spans="1:7" ht="24.95" customHeight="1">
      <c r="A233" s="60" t="str">
        <f t="array" ref="A233">LEFT(F233, MIN(FIND({0,1,2,3,4,5,6,7,8,9}, F233 &amp; "0123456789")) - 1)</f>
        <v>VW</v>
      </c>
      <c r="B233" s="14">
        <f t="shared" si="6"/>
        <v>138</v>
      </c>
      <c r="C233" s="14"/>
      <c r="D233" s="14">
        <f t="shared" si="7"/>
        <v>21</v>
      </c>
      <c r="E233" s="1" t="s">
        <v>1565</v>
      </c>
      <c r="F233" s="7" t="s">
        <v>1566</v>
      </c>
      <c r="G233" s="33" t="s">
        <v>1567</v>
      </c>
    </row>
    <row r="234" spans="1:7" ht="24.95" customHeight="1">
      <c r="A234" s="60" t="str">
        <f t="array" ref="A234">LEFT(F234, MIN(FIND({0,1,2,3,4,5,6,7,8,9}, F234 &amp; "0123456789")) - 1)</f>
        <v>VW</v>
      </c>
      <c r="B234" s="14">
        <f t="shared" si="6"/>
        <v>140</v>
      </c>
      <c r="C234" s="1"/>
      <c r="D234" s="14">
        <f t="shared" si="7"/>
        <v>13</v>
      </c>
      <c r="E234" s="66" t="s">
        <v>1568</v>
      </c>
      <c r="F234" s="7" t="s">
        <v>1569</v>
      </c>
      <c r="G234" s="65" t="s">
        <v>1570</v>
      </c>
    </row>
    <row r="235" spans="1:7" ht="24.95" customHeight="1">
      <c r="A235" s="60" t="str">
        <f t="array" ref="A235">LEFT(F235, MIN(FIND({0,1,2,3,4,5,6,7,8,9}, F235 &amp; "0123456789")) - 1)</f>
        <v>VW</v>
      </c>
      <c r="B235" s="14">
        <f t="shared" si="6"/>
        <v>142</v>
      </c>
      <c r="C235" s="14"/>
      <c r="D235" s="14">
        <f t="shared" si="7"/>
        <v>14</v>
      </c>
      <c r="E235" s="14" t="s">
        <v>1571</v>
      </c>
      <c r="F235" s="14" t="s">
        <v>1572</v>
      </c>
      <c r="G235" s="67" t="s">
        <v>1573</v>
      </c>
    </row>
    <row r="236" spans="1:7" ht="24.95" customHeight="1">
      <c r="A236" s="60" t="str">
        <f t="array" ref="A236">LEFT(F236, MIN(FIND({0,1,2,3,4,5,6,7,8,9}, F236 &amp; "0123456789")) - 1)</f>
        <v>VW</v>
      </c>
      <c r="B236" s="14">
        <f t="shared" si="6"/>
        <v>144</v>
      </c>
      <c r="C236" s="14"/>
      <c r="D236" s="14">
        <f t="shared" si="7"/>
        <v>15</v>
      </c>
      <c r="E236" s="14" t="s">
        <v>1574</v>
      </c>
      <c r="F236" s="14" t="s">
        <v>1575</v>
      </c>
      <c r="G236" s="37" t="s">
        <v>1576</v>
      </c>
    </row>
    <row r="237" spans="1:7" ht="24.95" customHeight="1">
      <c r="A237" s="60" t="str">
        <f t="array" ref="A237">LEFT(F237, MIN(FIND({0,1,2,3,4,5,6,7,8,9}, F237 &amp; "0123456789")) - 1)</f>
        <v>VW</v>
      </c>
      <c r="B237" s="14">
        <f t="shared" si="6"/>
        <v>154</v>
      </c>
      <c r="C237" s="14"/>
      <c r="D237" s="14">
        <f t="shared" si="7"/>
        <v>23</v>
      </c>
      <c r="E237" s="1" t="s">
        <v>1577</v>
      </c>
      <c r="F237" s="1" t="s">
        <v>1578</v>
      </c>
      <c r="G237" s="25" t="s">
        <v>1579</v>
      </c>
    </row>
    <row r="238" spans="1:7" ht="24.95" customHeight="1">
      <c r="A238" s="60" t="str">
        <f t="array" ref="A238">LEFT(F238, MIN(FIND({0,1,2,3,4,5,6,7,8,9}, F238 &amp; "0123456789")) - 1)</f>
        <v>VW</v>
      </c>
      <c r="B238" s="14">
        <f t="shared" si="6"/>
        <v>156</v>
      </c>
      <c r="C238" s="14"/>
      <c r="D238" s="14">
        <f t="shared" si="7"/>
        <v>23</v>
      </c>
      <c r="E238" s="1" t="s">
        <v>1580</v>
      </c>
      <c r="F238" s="1" t="s">
        <v>1581</v>
      </c>
      <c r="G238" s="25" t="s">
        <v>1582</v>
      </c>
    </row>
    <row r="239" spans="1:7" ht="24.95" customHeight="1">
      <c r="A239" s="60" t="str">
        <f t="array" ref="A239">LEFT(F239, MIN(FIND({0,1,2,3,4,5,6,7,8,9}, F239 &amp; "0123456789")) - 1)</f>
        <v>VW</v>
      </c>
      <c r="B239" s="14">
        <f t="shared" si="6"/>
        <v>528</v>
      </c>
      <c r="C239" s="14"/>
      <c r="D239" s="14">
        <f t="shared" si="7"/>
        <v>16</v>
      </c>
      <c r="E239" s="1" t="s">
        <v>1197</v>
      </c>
      <c r="F239" s="1" t="s">
        <v>1198</v>
      </c>
      <c r="G239" s="25" t="s">
        <v>918</v>
      </c>
    </row>
    <row r="240" spans="1:7" ht="24.95" customHeight="1">
      <c r="A240" s="60" t="str">
        <f t="array" ref="A240">LEFT(F240, MIN(FIND({0,1,2,3,4,5,6,7,8,9}, F240 &amp; "0123456789")) - 1)</f>
        <v>VW</v>
      </c>
      <c r="B240" s="14">
        <f t="shared" si="6"/>
        <v>532</v>
      </c>
      <c r="C240" s="14"/>
      <c r="D240" s="14">
        <f t="shared" si="7"/>
        <v>18</v>
      </c>
      <c r="E240" s="1" t="s">
        <v>1224</v>
      </c>
      <c r="F240" s="1" t="s">
        <v>1201</v>
      </c>
      <c r="G240" s="25" t="s">
        <v>919</v>
      </c>
    </row>
    <row r="241" spans="1:7" ht="24.95" customHeight="1">
      <c r="A241" s="60" t="str">
        <f t="array" ref="A241">LEFT(F241, MIN(FIND({0,1,2,3,4,5,6,7,8,9}, F241 &amp; "0123456789")) - 1)</f>
        <v>VW</v>
      </c>
      <c r="B241" s="14">
        <f t="shared" si="6"/>
        <v>536</v>
      </c>
      <c r="C241" s="14"/>
      <c r="D241" s="14">
        <f t="shared" si="7"/>
        <v>20</v>
      </c>
      <c r="E241" s="1" t="s">
        <v>1199</v>
      </c>
      <c r="F241" s="1" t="s">
        <v>1204</v>
      </c>
      <c r="G241" s="25" t="s">
        <v>1012</v>
      </c>
    </row>
    <row r="242" spans="1:7" ht="24.95" customHeight="1">
      <c r="A242" s="60" t="str">
        <f t="array" ref="A242">LEFT(F242, MIN(FIND({0,1,2,3,4,5,6,7,8,9}, F242 &amp; "0123456789")) - 1)</f>
        <v>VW</v>
      </c>
      <c r="B242" s="14">
        <f t="shared" si="6"/>
        <v>540</v>
      </c>
      <c r="C242" s="14"/>
      <c r="D242" s="14">
        <f t="shared" si="7"/>
        <v>22</v>
      </c>
      <c r="E242" s="1" t="s">
        <v>1200</v>
      </c>
      <c r="F242" s="1" t="s">
        <v>1207</v>
      </c>
      <c r="G242" s="25" t="s">
        <v>920</v>
      </c>
    </row>
    <row r="243" spans="1:7" ht="24.95" customHeight="1">
      <c r="A243" s="60" t="str">
        <f t="array" ref="A243">LEFT(F243, MIN(FIND({0,1,2,3,4,5,6,7,8,9}, F243 &amp; "0123456789")) - 1)</f>
        <v>VW</v>
      </c>
      <c r="B243" s="14">
        <f t="shared" si="6"/>
        <v>544</v>
      </c>
      <c r="C243" s="14"/>
      <c r="D243" s="14">
        <f t="shared" si="7"/>
        <v>22</v>
      </c>
      <c r="E243" s="1" t="s">
        <v>1202</v>
      </c>
      <c r="F243" s="1" t="s">
        <v>1210</v>
      </c>
      <c r="G243" s="25" t="s">
        <v>921</v>
      </c>
    </row>
    <row r="244" spans="1:7" ht="24.95" customHeight="1">
      <c r="A244" s="60" t="str">
        <f t="array" ref="A244">LEFT(F244, MIN(FIND({0,1,2,3,4,5,6,7,8,9}, F244 &amp; "0123456789")) - 1)</f>
        <v>VW</v>
      </c>
      <c r="B244" s="14">
        <f t="shared" si="6"/>
        <v>548</v>
      </c>
      <c r="C244" s="14"/>
      <c r="D244" s="14">
        <f t="shared" si="7"/>
        <v>22</v>
      </c>
      <c r="E244" s="1" t="s">
        <v>1203</v>
      </c>
      <c r="F244" s="1" t="s">
        <v>1225</v>
      </c>
      <c r="G244" s="25" t="s">
        <v>922</v>
      </c>
    </row>
    <row r="245" spans="1:7" ht="24.95" customHeight="1">
      <c r="A245" s="60" t="str">
        <f t="array" ref="A245">LEFT(F245, MIN(FIND({0,1,2,3,4,5,6,7,8,9}, F245 &amp; "0123456789")) - 1)</f>
        <v>VW</v>
      </c>
      <c r="B245" s="14">
        <f t="shared" si="6"/>
        <v>552</v>
      </c>
      <c r="C245" s="14"/>
      <c r="D245" s="14">
        <f t="shared" si="7"/>
        <v>22</v>
      </c>
      <c r="E245" s="1" t="s">
        <v>1205</v>
      </c>
      <c r="F245" s="1" t="s">
        <v>1226</v>
      </c>
      <c r="G245" s="25" t="s">
        <v>923</v>
      </c>
    </row>
    <row r="246" spans="1:7" ht="24.95" customHeight="1">
      <c r="A246" s="60" t="str">
        <f t="array" ref="A246">LEFT(F246, MIN(FIND({0,1,2,3,4,5,6,7,8,9}, F246 &amp; "0123456789")) - 1)</f>
        <v>VW</v>
      </c>
      <c r="B246" s="14">
        <f t="shared" si="6"/>
        <v>556</v>
      </c>
      <c r="C246" s="14"/>
      <c r="D246" s="14">
        <f t="shared" si="7"/>
        <v>22</v>
      </c>
      <c r="E246" s="1" t="s">
        <v>1206</v>
      </c>
      <c r="F246" s="1" t="s">
        <v>1227</v>
      </c>
      <c r="G246" s="25" t="s">
        <v>924</v>
      </c>
    </row>
    <row r="247" spans="1:7" ht="24.95" customHeight="1">
      <c r="A247" s="60" t="str">
        <f t="array" ref="A247">LEFT(F247, MIN(FIND({0,1,2,3,4,5,6,7,8,9}, F247 &amp; "0123456789")) - 1)</f>
        <v>VW</v>
      </c>
      <c r="B247" s="14">
        <f t="shared" si="6"/>
        <v>560</v>
      </c>
      <c r="C247" s="14"/>
      <c r="D247" s="14">
        <f t="shared" si="7"/>
        <v>22</v>
      </c>
      <c r="E247" s="1" t="s">
        <v>1208</v>
      </c>
      <c r="F247" s="1" t="s">
        <v>1228</v>
      </c>
      <c r="G247" s="25" t="s">
        <v>925</v>
      </c>
    </row>
    <row r="248" spans="1:7" ht="24.95" customHeight="1">
      <c r="A248" s="60" t="str">
        <f t="array" ref="A248">LEFT(F248, MIN(FIND({0,1,2,3,4,5,6,7,8,9}, F248 &amp; "0123456789")) - 1)</f>
        <v>VW</v>
      </c>
      <c r="B248" s="14">
        <f t="shared" si="6"/>
        <v>564</v>
      </c>
      <c r="C248" s="14"/>
      <c r="D248" s="14">
        <f t="shared" si="7"/>
        <v>19</v>
      </c>
      <c r="E248" s="1" t="s">
        <v>1209</v>
      </c>
      <c r="F248" s="1" t="s">
        <v>1229</v>
      </c>
      <c r="G248" s="25" t="s">
        <v>694</v>
      </c>
    </row>
    <row r="249" spans="1:7" ht="24.95" customHeight="1">
      <c r="A249" s="60" t="str">
        <f t="array" ref="A249">LEFT(F249, MIN(FIND({0,1,2,3,4,5,6,7,8,9}, F249 &amp; "0123456789")) - 1)</f>
        <v>VW</v>
      </c>
      <c r="B249" s="14">
        <f t="shared" si="6"/>
        <v>568</v>
      </c>
      <c r="C249" s="14"/>
      <c r="D249" s="14">
        <f t="shared" si="7"/>
        <v>23</v>
      </c>
      <c r="E249" s="1" t="s">
        <v>1254</v>
      </c>
      <c r="F249" s="1" t="s">
        <v>1230</v>
      </c>
      <c r="G249" s="25" t="s">
        <v>1255</v>
      </c>
    </row>
    <row r="250" spans="1:7" ht="24.95" customHeight="1">
      <c r="A250" s="60" t="str">
        <f t="array" ref="A250">LEFT(F250, MIN(FIND({0,1,2,3,4,5,6,7,8,9}, F250 &amp; "0123456789")) - 1)</f>
        <v>VW</v>
      </c>
      <c r="B250" s="14">
        <f t="shared" si="6"/>
        <v>572</v>
      </c>
      <c r="C250" s="14"/>
      <c r="D250" s="14">
        <f t="shared" si="7"/>
        <v>23</v>
      </c>
      <c r="E250" s="1" t="s">
        <v>1275</v>
      </c>
      <c r="F250" s="1" t="s">
        <v>1256</v>
      </c>
      <c r="G250" s="25" t="s">
        <v>1257</v>
      </c>
    </row>
    <row r="251" spans="1:7" ht="24.95" customHeight="1">
      <c r="A251" s="60" t="str">
        <f t="array" ref="A251">LEFT(F251, MIN(FIND({0,1,2,3,4,5,6,7,8,9}, F251 &amp; "0123456789")) - 1)</f>
        <v>VW</v>
      </c>
      <c r="B251" s="14">
        <f t="shared" si="6"/>
        <v>576</v>
      </c>
      <c r="C251" s="14"/>
      <c r="D251" s="14">
        <f t="shared" si="7"/>
        <v>22</v>
      </c>
      <c r="E251" s="1" t="s">
        <v>1252</v>
      </c>
      <c r="F251" s="1" t="s">
        <v>1279</v>
      </c>
      <c r="G251" s="25" t="s">
        <v>1253</v>
      </c>
    </row>
    <row r="252" spans="1:7" ht="24.95" customHeight="1">
      <c r="A252" s="60" t="str">
        <f t="array" ref="A252">LEFT(F252, MIN(FIND({0,1,2,3,4,5,6,7,8,9}, F252 &amp; "0123456789")) - 1)</f>
        <v>VW</v>
      </c>
      <c r="B252" s="14">
        <f t="shared" si="6"/>
        <v>580</v>
      </c>
      <c r="C252" s="14"/>
      <c r="D252" s="14">
        <f t="shared" si="7"/>
        <v>22</v>
      </c>
      <c r="E252" s="1" t="s">
        <v>1288</v>
      </c>
      <c r="F252" s="1" t="s">
        <v>1289</v>
      </c>
      <c r="G252" s="25" t="s">
        <v>1290</v>
      </c>
    </row>
    <row r="253" spans="1:7" ht="24.95" customHeight="1">
      <c r="A253" s="60" t="str">
        <f t="array" ref="A253">LEFT(F253, MIN(FIND({0,1,2,3,4,5,6,7,8,9}, F253 &amp; "0123456789")) - 1)</f>
        <v>VW</v>
      </c>
      <c r="B253" s="14">
        <f t="shared" si="6"/>
        <v>584</v>
      </c>
      <c r="C253" s="14"/>
      <c r="D253" s="14">
        <f t="shared" si="7"/>
        <v>21</v>
      </c>
      <c r="E253" s="1" t="s">
        <v>1291</v>
      </c>
      <c r="F253" s="1" t="s">
        <v>1292</v>
      </c>
      <c r="G253" s="25" t="s">
        <v>1293</v>
      </c>
    </row>
    <row r="254" spans="1:7" ht="24.95" customHeight="1">
      <c r="A254" s="60" t="str">
        <f t="array" ref="A254">LEFT(F254, MIN(FIND({0,1,2,3,4,5,6,7,8,9}, F254 &amp; "0123456789")) - 1)</f>
        <v>VW</v>
      </c>
      <c r="B254" s="14">
        <f t="shared" si="6"/>
        <v>814</v>
      </c>
      <c r="C254" s="14"/>
      <c r="D254" s="14">
        <f t="shared" si="7"/>
        <v>12</v>
      </c>
      <c r="E254" s="1" t="s">
        <v>1583</v>
      </c>
      <c r="F254" s="1" t="s">
        <v>1472</v>
      </c>
      <c r="G254" s="71" t="s">
        <v>1588</v>
      </c>
    </row>
    <row r="255" spans="1:7" ht="24.95" customHeight="1">
      <c r="A255" s="60" t="str">
        <f t="array" ref="A255">LEFT(F255, MIN(FIND({0,1,2,3,4,5,6,7,8,9}, F255 &amp; "0123456789")) - 1)</f>
        <v>VW</v>
      </c>
      <c r="B255" s="14">
        <f t="shared" si="6"/>
        <v>816</v>
      </c>
      <c r="C255" s="14"/>
      <c r="D255" s="14">
        <f t="shared" si="7"/>
        <v>17</v>
      </c>
      <c r="E255" s="1" t="s">
        <v>1584</v>
      </c>
      <c r="F255" s="1" t="s">
        <v>1473</v>
      </c>
      <c r="G255" s="25" t="s">
        <v>1474</v>
      </c>
    </row>
    <row r="256" spans="1:7" ht="24.95" customHeight="1">
      <c r="A256" s="60" t="str">
        <f t="array" ref="A256">LEFT(F256, MIN(FIND({0,1,2,3,4,5,6,7,8,9}, F256 &amp; "0123456789")) - 1)</f>
        <v>VW</v>
      </c>
      <c r="B256" s="14">
        <f t="shared" si="6"/>
        <v>1898</v>
      </c>
      <c r="C256" s="14"/>
      <c r="D256" s="14">
        <f t="shared" si="7"/>
        <v>17</v>
      </c>
      <c r="E256" s="1" t="s">
        <v>1585</v>
      </c>
      <c r="F256" s="1" t="s">
        <v>1294</v>
      </c>
      <c r="G256" s="25" t="s">
        <v>1468</v>
      </c>
    </row>
    <row r="257" spans="1:7" ht="24.95" customHeight="1">
      <c r="A257" s="60" t="str">
        <f t="array" ref="A257">LEFT(F257, MIN(FIND({0,1,2,3,4,5,6,7,8,9}, F257 &amp; "0123456789")) - 1)</f>
        <v>VW</v>
      </c>
      <c r="B257" s="14">
        <f t="shared" si="6"/>
        <v>1918</v>
      </c>
      <c r="C257" s="14"/>
      <c r="D257" s="14">
        <f t="shared" si="7"/>
        <v>18</v>
      </c>
      <c r="E257" s="1" t="s">
        <v>1586</v>
      </c>
      <c r="F257" s="1" t="s">
        <v>1397</v>
      </c>
      <c r="G257" s="25" t="s">
        <v>1587</v>
      </c>
    </row>
  </sheetData>
  <phoneticPr fontId="19" type="noConversion"/>
  <dataValidations count="1">
    <dataValidation type="custom" allowBlank="1" showInputMessage="1" showErrorMessage="1" sqref="F1:F1048576" xr:uid="{9C9001CD-13B9-4F10-9F14-F0114A28AEDA}">
      <formula1>COUNTIF(F:F,F1)=1</formula1>
    </dataValidation>
  </dataValidations>
  <pageMargins left="0.75" right="0.75" top="1" bottom="1" header="0.51180555555555551" footer="0.51180555555555551"/>
  <pageSetup paperSize="9" orientation="portrait" r:id="rId1"/>
  <headerFooter scaleWithDoc="0"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0DDD2-0443-4862-87BD-5D53003BBCA5}">
  <dimension ref="A1:O40"/>
  <sheetViews>
    <sheetView workbookViewId="0">
      <selection activeCell="C4" sqref="C4"/>
    </sheetView>
  </sheetViews>
  <sheetFormatPr defaultRowHeight="24.95" customHeight="1"/>
  <cols>
    <col min="1" max="1" width="9.125" style="2" customWidth="1"/>
    <col min="2" max="6" width="9" style="2"/>
    <col min="7" max="7" width="88.625" style="2" customWidth="1"/>
    <col min="8" max="8" width="9" style="2"/>
    <col min="9" max="9" width="3.5" style="2" bestFit="1" customWidth="1"/>
    <col min="10" max="10" width="4.5" style="2" bestFit="1" customWidth="1"/>
    <col min="11" max="11" width="9" style="2"/>
    <col min="12" max="12" width="3.5" style="2" bestFit="1" customWidth="1"/>
    <col min="13" max="13" width="13.875" style="2" bestFit="1" customWidth="1"/>
    <col min="14" max="14" width="6.5" style="2" bestFit="1" customWidth="1"/>
    <col min="15" max="15" width="98.25" style="2" bestFit="1" customWidth="1"/>
    <col min="16" max="16384" width="9" style="2"/>
  </cols>
  <sheetData>
    <row r="1" spans="1:15" ht="24.95" customHeight="1">
      <c r="A1" s="70" t="s">
        <v>1591</v>
      </c>
      <c r="B1" s="70" t="s">
        <v>1589</v>
      </c>
      <c r="C1" s="70" t="s">
        <v>1590</v>
      </c>
      <c r="I1" s="60" t="str">
        <f t="array" ref="I1">LEFT(N1, MIN(FIND({0,1,2,3,4,5,6,7,8,9}, N1 &amp; "0123456789")) - 1)</f>
        <v>VW</v>
      </c>
      <c r="J1" s="75">
        <f>VALUE(RIGHT(N1,LEN(N1)-LEN(I1)))</f>
        <v>814</v>
      </c>
      <c r="K1" s="75"/>
      <c r="L1" s="75">
        <f>LEN(M1)</f>
        <v>12</v>
      </c>
      <c r="M1" s="74" t="s">
        <v>1583</v>
      </c>
      <c r="N1" s="74" t="s">
        <v>1472</v>
      </c>
      <c r="O1" s="76" t="s">
        <v>1588</v>
      </c>
    </row>
    <row r="2" spans="1:15" ht="24.95" customHeight="1">
      <c r="A2" s="1" t="s">
        <v>6</v>
      </c>
      <c r="B2" s="1">
        <v>20</v>
      </c>
      <c r="C2" s="1">
        <f t="shared" ref="C2:C40" si="0">B2-N(B1)</f>
        <v>20</v>
      </c>
    </row>
    <row r="3" spans="1:15" ht="24.95" customHeight="1">
      <c r="A3" s="1" t="s">
        <v>6</v>
      </c>
      <c r="B3" s="1">
        <v>24</v>
      </c>
      <c r="C3" s="1">
        <f t="shared" si="0"/>
        <v>4</v>
      </c>
    </row>
    <row r="4" spans="1:15" ht="24.95" customHeight="1">
      <c r="A4" s="1" t="s">
        <v>6</v>
      </c>
      <c r="B4" s="1">
        <v>32</v>
      </c>
      <c r="C4" s="1">
        <f t="shared" si="0"/>
        <v>8</v>
      </c>
    </row>
    <row r="5" spans="1:15" ht="24.95" customHeight="1">
      <c r="A5" s="1" t="s">
        <v>6</v>
      </c>
      <c r="B5" s="1">
        <v>36</v>
      </c>
      <c r="C5" s="1">
        <f t="shared" si="0"/>
        <v>4</v>
      </c>
    </row>
    <row r="6" spans="1:15" ht="24.95" customHeight="1">
      <c r="A6" s="1" t="s">
        <v>6</v>
      </c>
      <c r="B6" s="1">
        <v>40</v>
      </c>
      <c r="C6" s="1">
        <f t="shared" si="0"/>
        <v>4</v>
      </c>
    </row>
    <row r="7" spans="1:15" ht="24.95" customHeight="1">
      <c r="A7" s="1" t="s">
        <v>6</v>
      </c>
      <c r="B7" s="1">
        <v>44</v>
      </c>
      <c r="C7" s="1">
        <f t="shared" si="0"/>
        <v>4</v>
      </c>
    </row>
    <row r="8" spans="1:15" ht="24.95" customHeight="1">
      <c r="A8" s="1" t="s">
        <v>6</v>
      </c>
      <c r="B8" s="1">
        <v>48</v>
      </c>
      <c r="C8" s="1">
        <f t="shared" si="0"/>
        <v>4</v>
      </c>
    </row>
    <row r="9" spans="1:15" ht="24.95" customHeight="1">
      <c r="A9" s="1" t="s">
        <v>6</v>
      </c>
      <c r="B9" s="1">
        <v>52</v>
      </c>
      <c r="C9" s="1">
        <f t="shared" si="0"/>
        <v>4</v>
      </c>
    </row>
    <row r="10" spans="1:15" ht="24.95" customHeight="1">
      <c r="A10" s="1" t="s">
        <v>6</v>
      </c>
      <c r="B10" s="1">
        <v>56</v>
      </c>
      <c r="C10" s="1">
        <f t="shared" si="0"/>
        <v>4</v>
      </c>
    </row>
    <row r="11" spans="1:15" ht="24.95" customHeight="1">
      <c r="A11" s="1" t="s">
        <v>6</v>
      </c>
      <c r="B11" s="1">
        <v>60</v>
      </c>
      <c r="C11" s="1">
        <f t="shared" si="0"/>
        <v>4</v>
      </c>
    </row>
    <row r="12" spans="1:15" ht="24.95" customHeight="1">
      <c r="A12" s="1" t="s">
        <v>6</v>
      </c>
      <c r="B12" s="1">
        <v>64</v>
      </c>
      <c r="C12" s="1">
        <f t="shared" si="0"/>
        <v>4</v>
      </c>
    </row>
    <row r="13" spans="1:15" ht="24.95" customHeight="1">
      <c r="A13" s="1" t="s">
        <v>6</v>
      </c>
      <c r="B13" s="1">
        <v>68</v>
      </c>
      <c r="C13" s="1">
        <f t="shared" si="0"/>
        <v>4</v>
      </c>
    </row>
    <row r="14" spans="1:15" ht="24.95" customHeight="1">
      <c r="A14" s="1" t="s">
        <v>6</v>
      </c>
      <c r="B14" s="1">
        <v>72</v>
      </c>
      <c r="C14" s="1">
        <f t="shared" si="0"/>
        <v>4</v>
      </c>
    </row>
    <row r="15" spans="1:15" ht="24.95" customHeight="1">
      <c r="A15" s="1" t="s">
        <v>6</v>
      </c>
      <c r="B15" s="1">
        <v>76</v>
      </c>
      <c r="C15" s="1">
        <f t="shared" si="0"/>
        <v>4</v>
      </c>
    </row>
    <row r="16" spans="1:15" ht="24.95" customHeight="1">
      <c r="A16" s="1" t="s">
        <v>6</v>
      </c>
      <c r="B16" s="1">
        <v>80</v>
      </c>
      <c r="C16" s="1">
        <f t="shared" si="0"/>
        <v>4</v>
      </c>
    </row>
    <row r="17" spans="1:3" ht="24.95" customHeight="1">
      <c r="A17" s="1" t="s">
        <v>6</v>
      </c>
      <c r="B17" s="1">
        <v>84</v>
      </c>
      <c r="C17" s="1">
        <f t="shared" si="0"/>
        <v>4</v>
      </c>
    </row>
    <row r="18" spans="1:3" ht="24.95" customHeight="1">
      <c r="A18" s="1" t="s">
        <v>6</v>
      </c>
      <c r="B18" s="1">
        <v>88</v>
      </c>
      <c r="C18" s="1">
        <f t="shared" si="0"/>
        <v>4</v>
      </c>
    </row>
    <row r="19" spans="1:3" ht="24.95" customHeight="1">
      <c r="A19" s="1" t="s">
        <v>6</v>
      </c>
      <c r="B19" s="1">
        <v>92</v>
      </c>
      <c r="C19" s="1">
        <f t="shared" si="0"/>
        <v>4</v>
      </c>
    </row>
    <row r="20" spans="1:3" ht="24.95" customHeight="1">
      <c r="A20" s="1" t="s">
        <v>6</v>
      </c>
      <c r="B20" s="1">
        <v>96</v>
      </c>
      <c r="C20" s="1">
        <f t="shared" si="0"/>
        <v>4</v>
      </c>
    </row>
    <row r="21" spans="1:3" ht="24.95" customHeight="1">
      <c r="A21" s="1" t="s">
        <v>6</v>
      </c>
      <c r="B21" s="1">
        <v>100</v>
      </c>
      <c r="C21" s="1">
        <f t="shared" si="0"/>
        <v>4</v>
      </c>
    </row>
    <row r="22" spans="1:3" ht="24.95" customHeight="1">
      <c r="A22" s="1" t="s">
        <v>5</v>
      </c>
      <c r="B22" s="1">
        <v>100</v>
      </c>
      <c r="C22" s="1">
        <f t="shared" si="0"/>
        <v>0</v>
      </c>
    </row>
    <row r="23" spans="1:3" ht="24.95" customHeight="1">
      <c r="A23" s="1" t="s">
        <v>5</v>
      </c>
      <c r="B23" s="1">
        <v>104</v>
      </c>
      <c r="C23" s="1">
        <f t="shared" si="0"/>
        <v>4</v>
      </c>
    </row>
    <row r="24" spans="1:3" ht="24.95" customHeight="1">
      <c r="A24" s="1" t="s">
        <v>5</v>
      </c>
      <c r="B24" s="1">
        <v>108</v>
      </c>
      <c r="C24" s="1">
        <f t="shared" si="0"/>
        <v>4</v>
      </c>
    </row>
    <row r="25" spans="1:3" ht="24.95" customHeight="1">
      <c r="A25" s="1" t="s">
        <v>5</v>
      </c>
      <c r="B25" s="1">
        <v>112</v>
      </c>
      <c r="C25" s="1">
        <f t="shared" si="0"/>
        <v>4</v>
      </c>
    </row>
    <row r="26" spans="1:3" ht="24.95" customHeight="1">
      <c r="A26" s="1" t="s">
        <v>5</v>
      </c>
      <c r="B26" s="1">
        <v>116</v>
      </c>
      <c r="C26" s="1">
        <f t="shared" si="0"/>
        <v>4</v>
      </c>
    </row>
    <row r="27" spans="1:3" ht="24.95" customHeight="1">
      <c r="A27" s="1" t="s">
        <v>5</v>
      </c>
      <c r="B27" s="1">
        <v>120</v>
      </c>
      <c r="C27" s="1">
        <f t="shared" si="0"/>
        <v>4</v>
      </c>
    </row>
    <row r="28" spans="1:3" ht="24.95" customHeight="1">
      <c r="A28" s="1" t="s">
        <v>5</v>
      </c>
      <c r="B28" s="1">
        <v>124</v>
      </c>
      <c r="C28" s="1">
        <f t="shared" si="0"/>
        <v>4</v>
      </c>
    </row>
    <row r="29" spans="1:3" ht="24.95" customHeight="1">
      <c r="A29" s="1" t="s">
        <v>5</v>
      </c>
      <c r="B29" s="1">
        <v>128</v>
      </c>
      <c r="C29" s="1">
        <f t="shared" si="0"/>
        <v>4</v>
      </c>
    </row>
    <row r="30" spans="1:3" ht="24.95" customHeight="1">
      <c r="A30" s="1" t="s">
        <v>5</v>
      </c>
      <c r="B30" s="1">
        <v>132</v>
      </c>
      <c r="C30" s="1">
        <f t="shared" si="0"/>
        <v>4</v>
      </c>
    </row>
    <row r="31" spans="1:3" ht="24.95" customHeight="1">
      <c r="A31" s="1" t="s">
        <v>5</v>
      </c>
      <c r="B31" s="1">
        <v>136</v>
      </c>
      <c r="C31" s="1">
        <f t="shared" si="0"/>
        <v>4</v>
      </c>
    </row>
    <row r="32" spans="1:3" ht="24.95" customHeight="1">
      <c r="A32" s="1" t="s">
        <v>5</v>
      </c>
      <c r="B32" s="1">
        <v>138</v>
      </c>
      <c r="C32" s="1">
        <f t="shared" si="0"/>
        <v>2</v>
      </c>
    </row>
    <row r="33" spans="1:3" ht="24.95" customHeight="1">
      <c r="A33" s="1" t="s">
        <v>5</v>
      </c>
      <c r="B33" s="1">
        <v>140</v>
      </c>
      <c r="C33" s="1">
        <f t="shared" si="0"/>
        <v>2</v>
      </c>
    </row>
    <row r="34" spans="1:3" ht="24.95" customHeight="1">
      <c r="A34" s="1" t="s">
        <v>5</v>
      </c>
      <c r="B34" s="1">
        <v>142</v>
      </c>
      <c r="C34" s="1">
        <f t="shared" si="0"/>
        <v>2</v>
      </c>
    </row>
    <row r="35" spans="1:3" ht="24.95" customHeight="1">
      <c r="A35" s="1" t="s">
        <v>5</v>
      </c>
      <c r="B35" s="1">
        <v>144</v>
      </c>
      <c r="C35" s="1">
        <f t="shared" si="0"/>
        <v>2</v>
      </c>
    </row>
    <row r="36" spans="1:3" ht="24.95" customHeight="1">
      <c r="A36" s="1" t="s">
        <v>6</v>
      </c>
      <c r="B36" s="1">
        <v>146</v>
      </c>
      <c r="C36" s="1">
        <f t="shared" si="0"/>
        <v>2</v>
      </c>
    </row>
    <row r="37" spans="1:3" ht="24.95" customHeight="1">
      <c r="A37" s="1" t="s">
        <v>6</v>
      </c>
      <c r="B37" s="1">
        <v>150</v>
      </c>
      <c r="C37" s="1">
        <f t="shared" si="0"/>
        <v>4</v>
      </c>
    </row>
    <row r="38" spans="1:3" ht="24.95" customHeight="1">
      <c r="A38" s="1" t="s">
        <v>5</v>
      </c>
      <c r="B38" s="1">
        <v>154</v>
      </c>
      <c r="C38" s="1">
        <f t="shared" si="0"/>
        <v>4</v>
      </c>
    </row>
    <row r="39" spans="1:3" ht="24.95" customHeight="1">
      <c r="A39" s="1" t="s">
        <v>5</v>
      </c>
      <c r="B39" s="1">
        <v>156</v>
      </c>
      <c r="C39" s="1">
        <f t="shared" si="0"/>
        <v>2</v>
      </c>
    </row>
    <row r="40" spans="1:3" ht="24.95" customHeight="1">
      <c r="A40" s="1" t="s">
        <v>6</v>
      </c>
      <c r="B40" s="1">
        <v>300</v>
      </c>
      <c r="C40" s="1">
        <f t="shared" si="0"/>
        <v>144</v>
      </c>
    </row>
  </sheetData>
  <phoneticPr fontId="30" type="noConversion"/>
  <dataValidations count="1">
    <dataValidation type="custom" allowBlank="1" showInputMessage="1" showErrorMessage="1" sqref="N1" xr:uid="{5C5FBAD0-2874-451C-9172-D8D6CFD1D3F3}">
      <formula1>COUNTIF(F:F,N1)=1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CC4C-71E3-46F9-8C94-C607BA6D0756}">
  <dimension ref="A1:F21"/>
  <sheetViews>
    <sheetView view="pageLayout" topLeftCell="A6" zoomScaleNormal="100" workbookViewId="0">
      <selection activeCell="F3" sqref="F3"/>
    </sheetView>
  </sheetViews>
  <sheetFormatPr defaultRowHeight="24.95" customHeight="1"/>
  <cols>
    <col min="1" max="1" width="17.25" style="2" bestFit="1" customWidth="1"/>
    <col min="2" max="2" width="6.875" style="2" customWidth="1"/>
    <col min="3" max="3" width="8" style="2" customWidth="1"/>
    <col min="4" max="4" width="20" style="34" customWidth="1"/>
    <col min="5" max="5" width="6.625" style="2" customWidth="1"/>
    <col min="6" max="6" width="26.75" style="2" customWidth="1"/>
    <col min="7" max="16384" width="9" style="2"/>
  </cols>
  <sheetData>
    <row r="1" spans="1:6" s="50" customFormat="1" ht="24.95" customHeight="1">
      <c r="A1" s="47" t="s">
        <v>1325</v>
      </c>
      <c r="B1" s="63" t="s">
        <v>1469</v>
      </c>
      <c r="C1" s="63" t="s">
        <v>1470</v>
      </c>
      <c r="D1" s="48" t="s">
        <v>1297</v>
      </c>
      <c r="E1" s="49" t="s">
        <v>1298</v>
      </c>
      <c r="F1" s="48" t="s">
        <v>1315</v>
      </c>
    </row>
    <row r="2" spans="1:6" ht="24.95" customHeight="1">
      <c r="A2" s="42" t="s">
        <v>1299</v>
      </c>
      <c r="B2" s="43" t="s">
        <v>1300</v>
      </c>
      <c r="C2" s="43" t="s">
        <v>1278</v>
      </c>
      <c r="D2" s="51" t="s">
        <v>1301</v>
      </c>
      <c r="E2" s="44" t="s">
        <v>1302</v>
      </c>
      <c r="F2" s="41" t="s">
        <v>1317</v>
      </c>
    </row>
    <row r="3" spans="1:6" ht="24.95" customHeight="1">
      <c r="A3" s="42" t="s">
        <v>1329</v>
      </c>
      <c r="B3" s="43" t="s">
        <v>1307</v>
      </c>
      <c r="C3" s="43" t="s">
        <v>558</v>
      </c>
      <c r="D3" s="51" t="s">
        <v>933</v>
      </c>
      <c r="E3" s="44" t="s">
        <v>1302</v>
      </c>
      <c r="F3" s="41" t="s">
        <v>1317</v>
      </c>
    </row>
    <row r="4" spans="1:6" ht="24.95" customHeight="1">
      <c r="A4" s="42" t="s">
        <v>1330</v>
      </c>
      <c r="B4" s="43" t="s">
        <v>1308</v>
      </c>
      <c r="C4" s="43" t="s">
        <v>559</v>
      </c>
      <c r="D4" s="51" t="s">
        <v>934</v>
      </c>
      <c r="E4" s="44" t="s">
        <v>1302</v>
      </c>
      <c r="F4" s="41" t="s">
        <v>1317</v>
      </c>
    </row>
    <row r="5" spans="1:6" ht="24.95" customHeight="1">
      <c r="A5" s="42" t="s">
        <v>1331</v>
      </c>
      <c r="B5" s="43" t="s">
        <v>1309</v>
      </c>
      <c r="C5" s="43" t="s">
        <v>1314</v>
      </c>
      <c r="D5" s="51" t="s">
        <v>773</v>
      </c>
      <c r="E5" s="44" t="s">
        <v>1302</v>
      </c>
      <c r="F5" s="62" t="s">
        <v>1316</v>
      </c>
    </row>
    <row r="6" spans="1:6" ht="24.95" customHeight="1">
      <c r="A6" s="42" t="s">
        <v>1303</v>
      </c>
      <c r="B6" s="43" t="s">
        <v>1310</v>
      </c>
      <c r="C6" s="43" t="s">
        <v>562</v>
      </c>
      <c r="D6" s="51" t="s">
        <v>935</v>
      </c>
      <c r="E6" s="44" t="s">
        <v>1302</v>
      </c>
      <c r="F6" s="38" t="s">
        <v>1318</v>
      </c>
    </row>
    <row r="7" spans="1:6" ht="24.95" customHeight="1">
      <c r="A7" s="42" t="s">
        <v>1304</v>
      </c>
      <c r="B7" s="43" t="s">
        <v>1311</v>
      </c>
      <c r="C7" s="43" t="s">
        <v>563</v>
      </c>
      <c r="D7" s="51" t="s">
        <v>776</v>
      </c>
      <c r="E7" s="44" t="s">
        <v>1302</v>
      </c>
      <c r="F7" s="38" t="s">
        <v>1319</v>
      </c>
    </row>
    <row r="8" spans="1:6" ht="24.95" customHeight="1">
      <c r="A8" s="42" t="s">
        <v>1305</v>
      </c>
      <c r="B8" s="43" t="s">
        <v>1312</v>
      </c>
      <c r="C8" s="43" t="s">
        <v>779</v>
      </c>
      <c r="D8" s="51" t="s">
        <v>778</v>
      </c>
      <c r="E8" s="44" t="s">
        <v>1302</v>
      </c>
      <c r="F8" s="38" t="s">
        <v>1320</v>
      </c>
    </row>
    <row r="9" spans="1:6" ht="28.5">
      <c r="A9" s="42" t="s">
        <v>1306</v>
      </c>
      <c r="B9" s="43" t="s">
        <v>1313</v>
      </c>
      <c r="C9" s="43" t="s">
        <v>564</v>
      </c>
      <c r="D9" s="51" t="s">
        <v>781</v>
      </c>
      <c r="E9" s="44" t="s">
        <v>1302</v>
      </c>
      <c r="F9" s="52" t="s">
        <v>1328</v>
      </c>
    </row>
    <row r="10" spans="1:6" ht="24.95" customHeight="1">
      <c r="A10" s="64" t="s">
        <v>1471</v>
      </c>
      <c r="B10" s="38" t="s">
        <v>13</v>
      </c>
      <c r="C10" s="38" t="s">
        <v>1324</v>
      </c>
      <c r="D10" s="40" t="s">
        <v>936</v>
      </c>
      <c r="E10" s="46" t="s">
        <v>1323</v>
      </c>
      <c r="F10" s="38"/>
    </row>
    <row r="11" spans="1:6" ht="24.95" customHeight="1">
      <c r="A11" s="45" t="s">
        <v>1326</v>
      </c>
      <c r="B11" s="38" t="s">
        <v>26</v>
      </c>
      <c r="C11" s="38" t="s">
        <v>571</v>
      </c>
      <c r="D11" s="40" t="s">
        <v>1269</v>
      </c>
      <c r="E11" s="46" t="s">
        <v>1323</v>
      </c>
      <c r="F11" s="38"/>
    </row>
    <row r="12" spans="1:6" ht="24.95" customHeight="1">
      <c r="A12" s="45" t="s">
        <v>1327</v>
      </c>
      <c r="B12" s="38" t="s">
        <v>44</v>
      </c>
      <c r="C12" s="38" t="s">
        <v>572</v>
      </c>
      <c r="D12" s="40" t="s">
        <v>784</v>
      </c>
      <c r="E12" s="46" t="s">
        <v>1323</v>
      </c>
      <c r="F12" s="38"/>
    </row>
    <row r="13" spans="1:6" ht="24.95" customHeight="1">
      <c r="A13" s="45" t="s">
        <v>1321</v>
      </c>
      <c r="B13" s="38" t="s">
        <v>59</v>
      </c>
      <c r="C13" s="38" t="s">
        <v>573</v>
      </c>
      <c r="D13" s="40" t="s">
        <v>786</v>
      </c>
      <c r="E13" s="46" t="s">
        <v>1323</v>
      </c>
      <c r="F13" s="38"/>
    </row>
    <row r="14" spans="1:6" ht="24.95" customHeight="1">
      <c r="A14" s="45" t="s">
        <v>788</v>
      </c>
      <c r="B14" s="38" t="s">
        <v>69</v>
      </c>
      <c r="C14" s="38" t="s">
        <v>574</v>
      </c>
      <c r="D14" s="40" t="s">
        <v>1242</v>
      </c>
      <c r="E14" s="46" t="s">
        <v>1323</v>
      </c>
      <c r="F14" s="38"/>
    </row>
    <row r="15" spans="1:6" ht="24.95" customHeight="1">
      <c r="A15" s="45" t="s">
        <v>76</v>
      </c>
      <c r="B15" s="38" t="s">
        <v>78</v>
      </c>
      <c r="C15" s="38" t="s">
        <v>575</v>
      </c>
      <c r="D15" s="40" t="s">
        <v>1243</v>
      </c>
      <c r="E15" s="46" t="s">
        <v>1323</v>
      </c>
      <c r="F15" s="38"/>
    </row>
    <row r="16" spans="1:6" ht="24.95" customHeight="1">
      <c r="A16" s="45" t="s">
        <v>87</v>
      </c>
      <c r="B16" s="38" t="s">
        <v>89</v>
      </c>
      <c r="C16" s="38" t="s">
        <v>576</v>
      </c>
      <c r="D16" s="40" t="s">
        <v>1244</v>
      </c>
      <c r="E16" s="46" t="s">
        <v>1323</v>
      </c>
      <c r="F16" s="38"/>
    </row>
    <row r="17" spans="1:6" ht="24.95" customHeight="1">
      <c r="A17" s="42" t="s">
        <v>1322</v>
      </c>
      <c r="B17" s="43" t="s">
        <v>97</v>
      </c>
      <c r="C17" s="38" t="s">
        <v>577</v>
      </c>
      <c r="D17" s="51" t="s">
        <v>790</v>
      </c>
      <c r="E17" s="46" t="s">
        <v>1323</v>
      </c>
      <c r="F17" s="43"/>
    </row>
    <row r="18" spans="1:6" ht="24.95" customHeight="1">
      <c r="A18" s="45" t="s">
        <v>1335</v>
      </c>
      <c r="B18" s="38" t="s">
        <v>1215</v>
      </c>
      <c r="C18" s="38"/>
      <c r="D18" s="40" t="s">
        <v>1260</v>
      </c>
      <c r="E18" s="46" t="s">
        <v>1332</v>
      </c>
      <c r="F18" s="38" t="s">
        <v>1334</v>
      </c>
    </row>
    <row r="19" spans="1:6" ht="24.95" customHeight="1">
      <c r="A19" s="42" t="s">
        <v>1336</v>
      </c>
      <c r="B19" s="43" t="s">
        <v>1217</v>
      </c>
      <c r="C19" s="38"/>
      <c r="D19" s="51" t="s">
        <v>1261</v>
      </c>
      <c r="E19" s="44" t="s">
        <v>1332</v>
      </c>
      <c r="F19" s="38" t="s">
        <v>1339</v>
      </c>
    </row>
    <row r="20" spans="1:6" ht="24.95" customHeight="1">
      <c r="A20" s="45" t="s">
        <v>1337</v>
      </c>
      <c r="B20" s="38" t="s">
        <v>1211</v>
      </c>
      <c r="C20" s="38"/>
      <c r="D20" s="40" t="s">
        <v>1262</v>
      </c>
      <c r="E20" s="46" t="s">
        <v>1333</v>
      </c>
      <c r="F20" s="38" t="s">
        <v>1340</v>
      </c>
    </row>
    <row r="21" spans="1:6" ht="24.95" customHeight="1">
      <c r="A21" s="42" t="s">
        <v>1338</v>
      </c>
      <c r="B21" s="43" t="s">
        <v>1213</v>
      </c>
      <c r="C21" s="43"/>
      <c r="D21" s="51" t="s">
        <v>1263</v>
      </c>
      <c r="E21" s="44" t="s">
        <v>1333</v>
      </c>
      <c r="F21" s="38" t="s">
        <v>1341</v>
      </c>
    </row>
  </sheetData>
  <phoneticPr fontId="19" type="noConversion"/>
  <pageMargins left="0.7" right="0.7" top="0.75" bottom="0.75" header="0.3" footer="0.3"/>
  <pageSetup paperSize="9" scale="96" orientation="portrait" r:id="rId1"/>
  <headerFooter>
    <oddHeader>&amp;C
&amp;A</oddHead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B5D3A-60EF-41A0-A517-7415BF086DA6}">
  <dimension ref="B1:H17"/>
  <sheetViews>
    <sheetView zoomScaleSheetLayoutView="100" workbookViewId="0">
      <selection activeCell="K10" sqref="K10"/>
    </sheetView>
  </sheetViews>
  <sheetFormatPr defaultColWidth="8.75" defaultRowHeight="24.95" customHeight="1"/>
  <cols>
    <col min="1" max="1" width="4.25" style="2" customWidth="1"/>
    <col min="2" max="2" width="32.5" style="2" hidden="1" customWidth="1"/>
    <col min="3" max="3" width="23.875" style="2" bestFit="1" customWidth="1"/>
    <col min="4" max="4" width="28" style="2" customWidth="1"/>
    <col min="5" max="5" width="19.375" style="2" bestFit="1" customWidth="1"/>
    <col min="6" max="6" width="23" bestFit="1" customWidth="1"/>
    <col min="7" max="7" width="23" customWidth="1"/>
    <col min="8" max="8" width="28.25" style="57" bestFit="1" customWidth="1"/>
    <col min="9" max="9" width="10.5" style="2" bestFit="1" customWidth="1"/>
    <col min="10" max="10" width="17.25" style="2" bestFit="1" customWidth="1"/>
    <col min="11" max="16384" width="8.75" style="2"/>
  </cols>
  <sheetData>
    <row r="1" spans="2:8" s="50" customFormat="1" ht="35.1" customHeight="1">
      <c r="B1" s="80" t="s">
        <v>1343</v>
      </c>
      <c r="C1" s="80" t="s">
        <v>536</v>
      </c>
      <c r="D1" s="80" t="s">
        <v>1345</v>
      </c>
      <c r="E1" s="80" t="s">
        <v>523</v>
      </c>
      <c r="F1" s="80" t="s">
        <v>1344</v>
      </c>
      <c r="G1" s="80" t="s">
        <v>1593</v>
      </c>
      <c r="H1" s="80" t="s">
        <v>1376</v>
      </c>
    </row>
    <row r="2" spans="2:8" ht="24.95" customHeight="1">
      <c r="B2" s="54" t="s">
        <v>326</v>
      </c>
      <c r="C2" s="1" t="s">
        <v>1356</v>
      </c>
      <c r="D2" s="54" t="s">
        <v>1346</v>
      </c>
      <c r="E2" s="1" t="s">
        <v>1357</v>
      </c>
      <c r="F2" s="53">
        <v>40061.08</v>
      </c>
      <c r="G2" s="81" t="s">
        <v>1602</v>
      </c>
      <c r="H2" s="54" t="s">
        <v>1394</v>
      </c>
    </row>
    <row r="3" spans="2:8" ht="24.95" customHeight="1">
      <c r="B3" s="54" t="s">
        <v>330</v>
      </c>
      <c r="C3" s="1" t="s">
        <v>1358</v>
      </c>
      <c r="D3" s="54" t="s">
        <v>1347</v>
      </c>
      <c r="E3" s="1" t="s">
        <v>978</v>
      </c>
      <c r="F3" s="53">
        <v>40061.089999999997</v>
      </c>
      <c r="G3" s="81" t="s">
        <v>1602</v>
      </c>
      <c r="H3" s="54" t="s">
        <v>1394</v>
      </c>
    </row>
    <row r="4" spans="2:8" ht="24.95" customHeight="1">
      <c r="B4" s="54" t="s">
        <v>334</v>
      </c>
      <c r="C4" s="1" t="s">
        <v>1359</v>
      </c>
      <c r="D4" s="54" t="s">
        <v>1348</v>
      </c>
      <c r="E4" s="1" t="s">
        <v>979</v>
      </c>
      <c r="F4" s="58">
        <v>40061.1</v>
      </c>
      <c r="G4" s="83" t="s">
        <v>1602</v>
      </c>
      <c r="H4" s="54" t="s">
        <v>1394</v>
      </c>
    </row>
    <row r="5" spans="2:8" ht="24.95" customHeight="1">
      <c r="B5" s="54" t="s">
        <v>338</v>
      </c>
      <c r="C5" s="1" t="s">
        <v>1360</v>
      </c>
      <c r="D5" s="54" t="s">
        <v>1349</v>
      </c>
      <c r="E5" s="1" t="s">
        <v>980</v>
      </c>
      <c r="F5" s="53">
        <v>40061.109999999986</v>
      </c>
      <c r="G5" s="81" t="s">
        <v>1602</v>
      </c>
      <c r="H5" s="54" t="s">
        <v>1394</v>
      </c>
    </row>
    <row r="6" spans="2:8" ht="24.95" customHeight="1">
      <c r="B6" s="54" t="s">
        <v>342</v>
      </c>
      <c r="C6" s="1" t="s">
        <v>1361</v>
      </c>
      <c r="D6" s="54" t="s">
        <v>1350</v>
      </c>
      <c r="E6" s="54" t="s">
        <v>1363</v>
      </c>
      <c r="F6" s="53">
        <v>40061.119999999981</v>
      </c>
      <c r="G6" s="81" t="s">
        <v>1602</v>
      </c>
      <c r="H6" s="54" t="s">
        <v>1394</v>
      </c>
    </row>
    <row r="7" spans="2:8" ht="24.95" customHeight="1">
      <c r="B7" s="54" t="s">
        <v>345</v>
      </c>
      <c r="C7" s="1" t="s">
        <v>981</v>
      </c>
      <c r="D7" s="54" t="s">
        <v>1351</v>
      </c>
      <c r="E7" s="54" t="s">
        <v>1364</v>
      </c>
      <c r="F7" s="53">
        <v>40061.129999999976</v>
      </c>
      <c r="G7" s="81" t="s">
        <v>1602</v>
      </c>
      <c r="H7" s="54" t="s">
        <v>1395</v>
      </c>
    </row>
    <row r="8" spans="2:8" ht="24.95" customHeight="1">
      <c r="B8" s="54" t="s">
        <v>348</v>
      </c>
      <c r="C8" s="1" t="s">
        <v>982</v>
      </c>
      <c r="D8" s="54" t="s">
        <v>1352</v>
      </c>
      <c r="E8" s="54" t="s">
        <v>1365</v>
      </c>
      <c r="F8" s="53">
        <v>40061.13999999997</v>
      </c>
      <c r="G8" s="81" t="s">
        <v>1602</v>
      </c>
      <c r="H8" s="54" t="s">
        <v>1395</v>
      </c>
    </row>
    <row r="9" spans="2:8" ht="24.95" customHeight="1">
      <c r="B9" s="54" t="s">
        <v>351</v>
      </c>
      <c r="C9" s="1" t="s">
        <v>983</v>
      </c>
      <c r="D9" s="54" t="s">
        <v>1353</v>
      </c>
      <c r="E9" s="54" t="s">
        <v>1366</v>
      </c>
      <c r="F9" s="53">
        <v>40061.149999999965</v>
      </c>
      <c r="G9" s="81" t="s">
        <v>1602</v>
      </c>
      <c r="H9" s="54" t="s">
        <v>1395</v>
      </c>
    </row>
    <row r="10" spans="2:8" ht="24.95" customHeight="1">
      <c r="B10" s="54" t="s">
        <v>354</v>
      </c>
      <c r="C10" s="1" t="s">
        <v>984</v>
      </c>
      <c r="D10" s="54" t="s">
        <v>1354</v>
      </c>
      <c r="E10" s="54" t="s">
        <v>1367</v>
      </c>
      <c r="F10" s="56">
        <v>40061</v>
      </c>
      <c r="G10" s="84" t="s">
        <v>1602</v>
      </c>
      <c r="H10" s="54" t="s">
        <v>1395</v>
      </c>
    </row>
    <row r="11" spans="2:8" ht="24.95" customHeight="1">
      <c r="B11" s="54" t="s">
        <v>358</v>
      </c>
      <c r="C11" s="1" t="s">
        <v>985</v>
      </c>
      <c r="D11" s="54" t="s">
        <v>1355</v>
      </c>
      <c r="E11" s="54" t="s">
        <v>1368</v>
      </c>
      <c r="F11" s="55">
        <v>40061.1</v>
      </c>
      <c r="G11" s="85" t="s">
        <v>1602</v>
      </c>
      <c r="H11" s="54" t="s">
        <v>1395</v>
      </c>
    </row>
    <row r="12" spans="2:8" ht="24.95" customHeight="1">
      <c r="B12" s="54" t="s">
        <v>213</v>
      </c>
      <c r="C12" s="54" t="s">
        <v>1386</v>
      </c>
      <c r="D12" s="54" t="s">
        <v>1378</v>
      </c>
      <c r="E12" s="54" t="s">
        <v>1370</v>
      </c>
      <c r="F12" s="55">
        <v>40071</v>
      </c>
      <c r="G12" s="55" t="s">
        <v>1599</v>
      </c>
      <c r="H12" s="54" t="s">
        <v>1394</v>
      </c>
    </row>
    <row r="13" spans="2:8" ht="24.95" customHeight="1">
      <c r="B13" s="54" t="s">
        <v>217</v>
      </c>
      <c r="C13" s="54" t="s">
        <v>1388</v>
      </c>
      <c r="D13" s="54" t="s">
        <v>1380</v>
      </c>
      <c r="E13" s="54" t="s">
        <v>1372</v>
      </c>
      <c r="F13" s="55">
        <v>40073</v>
      </c>
      <c r="G13" s="55" t="s">
        <v>1599</v>
      </c>
      <c r="H13" s="54" t="s">
        <v>1394</v>
      </c>
    </row>
    <row r="14" spans="2:8" ht="24.95" customHeight="1">
      <c r="B14" s="54" t="s">
        <v>225</v>
      </c>
      <c r="C14" s="54" t="s">
        <v>1389</v>
      </c>
      <c r="D14" s="54" t="s">
        <v>1382</v>
      </c>
      <c r="E14" s="54" t="s">
        <v>1374</v>
      </c>
      <c r="F14" s="55">
        <v>40077</v>
      </c>
      <c r="G14" s="55" t="s">
        <v>1599</v>
      </c>
      <c r="H14" s="54" t="s">
        <v>1394</v>
      </c>
    </row>
    <row r="15" spans="2:8" ht="24.95" customHeight="1">
      <c r="B15" s="54" t="s">
        <v>229</v>
      </c>
      <c r="C15" s="1" t="s">
        <v>1391</v>
      </c>
      <c r="D15" s="54" t="s">
        <v>1384</v>
      </c>
      <c r="E15" s="54" t="s">
        <v>1375</v>
      </c>
      <c r="F15" s="55">
        <v>40191</v>
      </c>
      <c r="G15" s="55" t="s">
        <v>1599</v>
      </c>
      <c r="H15" s="1" t="s">
        <v>1394</v>
      </c>
    </row>
    <row r="16" spans="2:8" ht="24.95" customHeight="1">
      <c r="B16" s="54"/>
      <c r="C16" s="54" t="s">
        <v>1362</v>
      </c>
      <c r="D16" s="54" t="str">
        <f>"VW"&amp;1500+2*(F16-40000-1)</f>
        <v>VW1898</v>
      </c>
      <c r="E16" s="54" t="s">
        <v>1373</v>
      </c>
      <c r="F16" s="55">
        <v>40200</v>
      </c>
      <c r="G16" s="55" t="s">
        <v>1597</v>
      </c>
      <c r="H16" s="54" t="s">
        <v>1393</v>
      </c>
    </row>
    <row r="17" spans="2:8" ht="24.95" customHeight="1">
      <c r="B17" s="54"/>
      <c r="C17" s="54" t="s">
        <v>1396</v>
      </c>
      <c r="D17" s="54" t="str">
        <f>"VW"&amp;1500+2*(F17-40000-1)</f>
        <v>VW1918</v>
      </c>
      <c r="E17" s="54" t="s">
        <v>1392</v>
      </c>
      <c r="F17" s="55">
        <v>40210</v>
      </c>
      <c r="G17" s="55" t="s">
        <v>1597</v>
      </c>
      <c r="H17" s="54" t="s">
        <v>1393</v>
      </c>
    </row>
  </sheetData>
  <phoneticPr fontId="4" type="noConversion"/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AC68D8-FEAE-469D-AB8B-3DBEB257BC9A}">
          <x14:formula1>
            <xm:f>数据项!$G:$G</xm:f>
          </x14:formula1>
          <xm:sqref>G1:G1048576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8761D-8897-4103-9A07-B5EE77259803}">
  <dimension ref="A1:G31"/>
  <sheetViews>
    <sheetView tabSelected="1" topLeftCell="A4" zoomScaleNormal="100" workbookViewId="0">
      <selection activeCell="G5" sqref="G5"/>
    </sheetView>
  </sheetViews>
  <sheetFormatPr defaultColWidth="2" defaultRowHeight="24.95" customHeight="1"/>
  <cols>
    <col min="1" max="1" width="7.75" style="2" customWidth="1"/>
    <col min="2" max="2" width="13.125" style="2" customWidth="1"/>
    <col min="3" max="3" width="15" customWidth="1"/>
    <col min="4" max="4" width="38.125" style="34" customWidth="1"/>
    <col min="5" max="5" width="34.625" style="34" customWidth="1"/>
    <col min="6" max="6" width="21" style="73" customWidth="1"/>
    <col min="7" max="7" width="45.75" style="2" customWidth="1"/>
    <col min="8" max="54" width="5.625" style="2" customWidth="1"/>
    <col min="55" max="16384" width="2" style="2"/>
  </cols>
  <sheetData>
    <row r="1" spans="1:7" s="4" customFormat="1" ht="35.1" customHeight="1">
      <c r="A1" s="89" t="s">
        <v>1607</v>
      </c>
      <c r="B1" s="90" t="s">
        <v>1603</v>
      </c>
      <c r="C1" s="90" t="s">
        <v>1509</v>
      </c>
      <c r="D1" s="90" t="s">
        <v>1592</v>
      </c>
      <c r="E1" s="91" t="s">
        <v>1475</v>
      </c>
      <c r="F1" s="92" t="s">
        <v>1476</v>
      </c>
      <c r="G1" s="90" t="s">
        <v>1628</v>
      </c>
    </row>
    <row r="2" spans="1:7" s="36" customFormat="1" ht="57">
      <c r="A2" s="93">
        <f t="shared" ref="A2:A18" si="0">ROW()-1</f>
        <v>1</v>
      </c>
      <c r="B2" s="86" t="s">
        <v>1507</v>
      </c>
      <c r="C2" s="77" t="s">
        <v>1611</v>
      </c>
      <c r="D2" s="77" t="s">
        <v>1610</v>
      </c>
      <c r="E2" s="77" t="s">
        <v>1615</v>
      </c>
      <c r="F2" s="94" t="s">
        <v>1609</v>
      </c>
      <c r="G2" s="99" t="s">
        <v>1629</v>
      </c>
    </row>
    <row r="3" spans="1:7" ht="57">
      <c r="A3" s="64">
        <f t="shared" si="0"/>
        <v>2</v>
      </c>
      <c r="B3" s="66" t="s">
        <v>1478</v>
      </c>
      <c r="C3" s="77" t="s">
        <v>1611</v>
      </c>
      <c r="D3" s="77" t="s">
        <v>1612</v>
      </c>
      <c r="E3" s="77" t="s">
        <v>1614</v>
      </c>
      <c r="F3" s="95" t="s">
        <v>1608</v>
      </c>
      <c r="G3" s="69"/>
    </row>
    <row r="4" spans="1:7" ht="114">
      <c r="A4" s="96">
        <f t="shared" si="0"/>
        <v>3</v>
      </c>
      <c r="B4" s="68" t="s">
        <v>1508</v>
      </c>
      <c r="C4" s="77" t="s">
        <v>1613</v>
      </c>
      <c r="D4" s="77" t="s">
        <v>1630</v>
      </c>
      <c r="E4" s="77" t="s">
        <v>1616</v>
      </c>
      <c r="F4" s="88" t="s">
        <v>1477</v>
      </c>
      <c r="G4" s="69"/>
    </row>
    <row r="5" spans="1:7" ht="128.25">
      <c r="A5" s="97">
        <f t="shared" si="0"/>
        <v>4</v>
      </c>
      <c r="B5" s="69" t="s">
        <v>1478</v>
      </c>
      <c r="C5" s="77" t="s">
        <v>1613</v>
      </c>
      <c r="D5" s="77" t="s">
        <v>1617</v>
      </c>
      <c r="E5" s="77" t="s">
        <v>1618</v>
      </c>
      <c r="F5" s="88" t="s">
        <v>1477</v>
      </c>
      <c r="G5" s="86"/>
    </row>
    <row r="6" spans="1:7" ht="42.75">
      <c r="A6" s="96">
        <f t="shared" si="0"/>
        <v>5</v>
      </c>
      <c r="B6" s="68" t="s">
        <v>1508</v>
      </c>
      <c r="C6" s="72" t="s">
        <v>1479</v>
      </c>
      <c r="D6" s="77" t="s">
        <v>1620</v>
      </c>
      <c r="E6" s="77" t="s">
        <v>1619</v>
      </c>
      <c r="F6" s="88" t="s">
        <v>1477</v>
      </c>
      <c r="G6" s="69"/>
    </row>
    <row r="7" spans="1:7" ht="42.75">
      <c r="A7" s="64">
        <f t="shared" si="0"/>
        <v>6</v>
      </c>
      <c r="B7" s="66" t="s">
        <v>1508</v>
      </c>
      <c r="C7" s="72" t="s">
        <v>1480</v>
      </c>
      <c r="D7" s="77" t="s">
        <v>1621</v>
      </c>
      <c r="E7" s="77" t="s">
        <v>1622</v>
      </c>
      <c r="F7" s="88" t="s">
        <v>1477</v>
      </c>
      <c r="G7" s="69"/>
    </row>
    <row r="8" spans="1:7" ht="28.5">
      <c r="A8" s="64">
        <f t="shared" si="0"/>
        <v>7</v>
      </c>
      <c r="B8" s="66" t="s">
        <v>1508</v>
      </c>
      <c r="C8" s="72" t="s">
        <v>216</v>
      </c>
      <c r="D8" s="72" t="s">
        <v>1481</v>
      </c>
      <c r="E8" s="72" t="s">
        <v>1482</v>
      </c>
      <c r="F8" s="88" t="s">
        <v>1477</v>
      </c>
      <c r="G8" s="69"/>
    </row>
    <row r="9" spans="1:7" ht="42.75">
      <c r="A9" s="64">
        <f t="shared" si="0"/>
        <v>8</v>
      </c>
      <c r="B9" s="66" t="s">
        <v>1478</v>
      </c>
      <c r="C9" s="72" t="s">
        <v>220</v>
      </c>
      <c r="D9" s="72" t="s">
        <v>1483</v>
      </c>
      <c r="E9" s="72" t="s">
        <v>1484</v>
      </c>
      <c r="F9" s="88" t="s">
        <v>1477</v>
      </c>
      <c r="G9" s="69"/>
    </row>
    <row r="10" spans="1:7" ht="28.5">
      <c r="A10" s="64">
        <f t="shared" si="0"/>
        <v>9</v>
      </c>
      <c r="B10" s="66" t="s">
        <v>1507</v>
      </c>
      <c r="C10" s="72" t="s">
        <v>1485</v>
      </c>
      <c r="D10" s="72" t="s">
        <v>1486</v>
      </c>
      <c r="E10" s="72" t="s">
        <v>1487</v>
      </c>
      <c r="F10" s="88" t="s">
        <v>1477</v>
      </c>
      <c r="G10" s="69"/>
    </row>
    <row r="11" spans="1:7" ht="24.95" customHeight="1">
      <c r="A11" s="64">
        <f t="shared" si="0"/>
        <v>10</v>
      </c>
      <c r="B11" s="66" t="s">
        <v>1507</v>
      </c>
      <c r="C11" s="72" t="s">
        <v>1488</v>
      </c>
      <c r="D11" s="72" t="s">
        <v>1489</v>
      </c>
      <c r="E11" s="72" t="s">
        <v>1490</v>
      </c>
      <c r="F11" s="88" t="s">
        <v>1477</v>
      </c>
      <c r="G11" s="69"/>
    </row>
    <row r="12" spans="1:7" ht="42.75">
      <c r="A12" s="64">
        <f t="shared" si="0"/>
        <v>11</v>
      </c>
      <c r="B12" s="66" t="s">
        <v>1507</v>
      </c>
      <c r="C12" s="77" t="s">
        <v>1623</v>
      </c>
      <c r="D12" s="72" t="s">
        <v>1491</v>
      </c>
      <c r="E12" s="77" t="s">
        <v>1627</v>
      </c>
      <c r="F12" s="88" t="s">
        <v>1477</v>
      </c>
      <c r="G12" s="69"/>
    </row>
    <row r="13" spans="1:7" ht="28.5">
      <c r="A13" s="64">
        <f>ROW()-1</f>
        <v>12</v>
      </c>
      <c r="B13" s="66" t="s">
        <v>1507</v>
      </c>
      <c r="C13" s="77" t="s">
        <v>1624</v>
      </c>
      <c r="D13" s="77" t="s">
        <v>1625</v>
      </c>
      <c r="E13" s="77" t="s">
        <v>1626</v>
      </c>
      <c r="F13" s="88" t="s">
        <v>1477</v>
      </c>
      <c r="G13" s="69"/>
    </row>
    <row r="14" spans="1:7" ht="24.95" customHeight="1">
      <c r="A14" s="64">
        <f t="shared" si="0"/>
        <v>13</v>
      </c>
      <c r="B14" s="66" t="s">
        <v>1507</v>
      </c>
      <c r="C14" s="72" t="s">
        <v>1492</v>
      </c>
      <c r="D14" s="72" t="s">
        <v>1493</v>
      </c>
      <c r="E14" s="72" t="s">
        <v>1494</v>
      </c>
      <c r="F14" s="88" t="s">
        <v>1477</v>
      </c>
      <c r="G14" s="69"/>
    </row>
    <row r="15" spans="1:7" ht="28.5">
      <c r="A15" s="64">
        <f t="shared" si="0"/>
        <v>14</v>
      </c>
      <c r="B15" s="66" t="s">
        <v>1507</v>
      </c>
      <c r="C15" s="72" t="s">
        <v>1495</v>
      </c>
      <c r="D15" s="72" t="s">
        <v>1496</v>
      </c>
      <c r="E15" s="72" t="s">
        <v>1497</v>
      </c>
      <c r="F15" s="88" t="s">
        <v>1477</v>
      </c>
      <c r="G15" s="69"/>
    </row>
    <row r="16" spans="1:7" ht="24.95" customHeight="1">
      <c r="A16" s="64">
        <f t="shared" si="0"/>
        <v>15</v>
      </c>
      <c r="B16" s="66" t="s">
        <v>1507</v>
      </c>
      <c r="C16" s="72" t="s">
        <v>1498</v>
      </c>
      <c r="D16" s="72" t="s">
        <v>1499</v>
      </c>
      <c r="E16" s="72" t="s">
        <v>1500</v>
      </c>
      <c r="F16" s="88" t="s">
        <v>1477</v>
      </c>
      <c r="G16" s="69"/>
    </row>
    <row r="17" spans="1:7" ht="71.25">
      <c r="A17" s="64">
        <f t="shared" si="0"/>
        <v>16</v>
      </c>
      <c r="B17" s="66" t="s">
        <v>1507</v>
      </c>
      <c r="C17" s="72" t="s">
        <v>1501</v>
      </c>
      <c r="D17" s="71" t="s">
        <v>1505</v>
      </c>
      <c r="E17" s="72" t="s">
        <v>1502</v>
      </c>
      <c r="F17" s="88" t="s">
        <v>1477</v>
      </c>
      <c r="G17" s="69"/>
    </row>
    <row r="18" spans="1:7" ht="28.5">
      <c r="A18" s="64">
        <f t="shared" si="0"/>
        <v>17</v>
      </c>
      <c r="B18" s="66" t="s">
        <v>1507</v>
      </c>
      <c r="C18" s="72" t="s">
        <v>1503</v>
      </c>
      <c r="D18" s="71" t="s">
        <v>1506</v>
      </c>
      <c r="E18" s="72" t="s">
        <v>1504</v>
      </c>
      <c r="F18" s="88" t="s">
        <v>1477</v>
      </c>
      <c r="G18" s="69"/>
    </row>
    <row r="19" spans="1:7" ht="24.95" customHeight="1">
      <c r="A19" s="87">
        <f t="shared" ref="A19:A21" si="1">ROW()-1</f>
        <v>18</v>
      </c>
      <c r="B19" s="69"/>
      <c r="C19" s="72"/>
      <c r="D19" s="72"/>
      <c r="E19" s="72"/>
      <c r="F19" s="88"/>
      <c r="G19" s="69"/>
    </row>
    <row r="20" spans="1:7" ht="24.95" customHeight="1">
      <c r="A20" s="5">
        <f t="shared" si="1"/>
        <v>19</v>
      </c>
      <c r="B20" s="69"/>
      <c r="C20" s="72"/>
      <c r="D20" s="72"/>
      <c r="E20" s="72"/>
      <c r="F20" s="69"/>
      <c r="G20" s="69"/>
    </row>
    <row r="21" spans="1:7" ht="24.95" customHeight="1">
      <c r="A21" s="5">
        <f t="shared" si="1"/>
        <v>20</v>
      </c>
      <c r="B21" s="69"/>
      <c r="C21" s="72"/>
      <c r="D21" s="72"/>
      <c r="E21" s="72"/>
      <c r="F21" s="69"/>
      <c r="G21" s="100"/>
    </row>
    <row r="22" spans="1:7" ht="24.95" customHeight="1">
      <c r="A22" s="36"/>
      <c r="B22" s="98"/>
      <c r="C22" s="73"/>
      <c r="D22" s="73"/>
      <c r="E22" s="73"/>
      <c r="F22" s="98"/>
    </row>
    <row r="23" spans="1:7" ht="24.95" customHeight="1">
      <c r="A23" s="36"/>
      <c r="B23" s="98"/>
      <c r="C23" s="73"/>
      <c r="D23" s="73"/>
      <c r="E23" s="73"/>
      <c r="F23" s="98"/>
    </row>
    <row r="24" spans="1:7" ht="24.95" customHeight="1">
      <c r="A24" s="36"/>
      <c r="B24" s="98"/>
      <c r="C24" s="73"/>
      <c r="D24" s="73"/>
      <c r="E24" s="73"/>
      <c r="F24" s="98"/>
    </row>
    <row r="25" spans="1:7" ht="24.95" customHeight="1">
      <c r="A25" s="36"/>
      <c r="B25" s="98"/>
      <c r="C25" s="73"/>
      <c r="D25" s="73"/>
      <c r="E25" s="73"/>
      <c r="F25" s="98"/>
    </row>
    <row r="26" spans="1:7" ht="24.95" customHeight="1">
      <c r="A26" s="36"/>
      <c r="B26" s="98"/>
      <c r="C26" s="73"/>
      <c r="D26" s="73"/>
      <c r="E26" s="73"/>
      <c r="F26" s="98"/>
    </row>
    <row r="27" spans="1:7" ht="24.95" customHeight="1">
      <c r="A27" s="36"/>
      <c r="B27" s="98"/>
      <c r="C27" s="73"/>
      <c r="D27" s="73"/>
      <c r="E27" s="73"/>
      <c r="F27" s="98"/>
    </row>
    <row r="28" spans="1:7" ht="24.95" customHeight="1">
      <c r="A28" s="36"/>
      <c r="B28" s="98"/>
      <c r="C28" s="73"/>
      <c r="D28" s="73"/>
      <c r="E28" s="73"/>
      <c r="F28" s="98"/>
    </row>
    <row r="29" spans="1:7" ht="24.95" customHeight="1">
      <c r="A29" s="36"/>
      <c r="B29" s="98"/>
      <c r="C29" s="73"/>
      <c r="D29" s="73"/>
      <c r="E29" s="73"/>
      <c r="F29" s="98"/>
    </row>
    <row r="30" spans="1:7" ht="24.95" customHeight="1">
      <c r="A30" s="36"/>
      <c r="B30" s="98"/>
      <c r="C30" s="73"/>
      <c r="D30" s="73"/>
      <c r="E30" s="73"/>
      <c r="F30" s="98"/>
    </row>
    <row r="31" spans="1:7" ht="24.95" customHeight="1">
      <c r="A31" s="36"/>
      <c r="B31" s="98"/>
      <c r="C31" s="73"/>
      <c r="D31" s="73"/>
      <c r="E31" s="73"/>
      <c r="F31" s="98"/>
    </row>
  </sheetData>
  <sortState xmlns:xlrd2="http://schemas.microsoft.com/office/spreadsheetml/2017/richdata2" ref="B3:F3">
    <sortCondition ref="B1:B3"/>
  </sortState>
  <phoneticPr fontId="30" type="noConversion"/>
  <pageMargins left="0.70866141732283472" right="0.70866141732283472" top="0.74803149606299213" bottom="0.74803149606299213" header="0.31496062992125984" footer="0.31496062992125984"/>
  <pageSetup paperSize="9" scale="62" orientation="portrait" r:id="rId1"/>
  <headerFooter>
    <oddHeader>&amp;L
日期：&amp;U                 &amp;C
&amp;A</oddHead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8E4CD66-3636-41C8-B902-5872AFD6C9A7}">
          <x14:formula1>
            <xm:f>数据项!$I:$I</xm:f>
          </x14:formula1>
          <xm:sqref>B1:B1048576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2</vt:i4>
      </vt:variant>
    </vt:vector>
  </HeadingPairs>
  <TitlesOfParts>
    <vt:vector size="10" baseType="lpstr">
      <vt:lpstr>端子1-原始</vt:lpstr>
      <vt:lpstr>数据项</vt:lpstr>
      <vt:lpstr>命名规范</vt:lpstr>
      <vt:lpstr>符号表</vt:lpstr>
      <vt:lpstr>地址校验</vt:lpstr>
      <vt:lpstr>IO分配表</vt:lpstr>
      <vt:lpstr>远程通讯</vt:lpstr>
      <vt:lpstr>江铜项目测试</vt:lpstr>
      <vt:lpstr>江铜项目测试!Print_Area</vt:lpstr>
      <vt:lpstr>江铜项目测试!Print_Titles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小雨 郭</cp:lastModifiedBy>
  <cp:lastPrinted>2026-06-26T06:50:06Z</cp:lastPrinted>
  <dcterms:created xsi:type="dcterms:W3CDTF">2016-12-02T08:54:00Z</dcterms:created>
  <dcterms:modified xsi:type="dcterms:W3CDTF">2026-06-26T07:52:04Z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AD2378834C584FD495B461B8D4EB4132_13</vt:lpwstr>
  </property>
</Properties>
</file>