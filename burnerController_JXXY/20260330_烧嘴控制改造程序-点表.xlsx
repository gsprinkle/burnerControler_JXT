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F:\02-PLC项目\江西沸腾炉烧嘴程序改造\burnerController_JXXY\"/>
    </mc:Choice>
  </mc:AlternateContent>
  <xr:revisionPtr revIDLastSave="0" documentId="13_ncr:1_{467F2F4F-A9F9-42D9-9866-89C658CFB9B6}" xr6:coauthVersionLast="47" xr6:coauthVersionMax="47" xr10:uidLastSave="{00000000-0000-0000-0000-000000000000}"/>
  <bookViews>
    <workbookView xWindow="-120" yWindow="-120" windowWidth="25440" windowHeight="15390" tabRatio="622" activeTab="6" xr2:uid="{2BCBB78C-AFBE-4F13-8C2E-200396EF23E4}"/>
  </bookViews>
  <sheets>
    <sheet name="端子1-原始" sheetId="1" r:id="rId1"/>
    <sheet name="数据项" sheetId="6" r:id="rId2"/>
    <sheet name="命名规范" sheetId="8" r:id="rId3"/>
    <sheet name="符号表" sheetId="13" r:id="rId4"/>
    <sheet name="地址校验" sheetId="16" r:id="rId5"/>
    <sheet name="IO分配表" sheetId="14" r:id="rId6"/>
    <sheet name="远程通讯" sheetId="5" r:id="rId7"/>
    <sheet name="项目测试" sheetId="15" r:id="rId8"/>
  </sheets>
  <definedNames>
    <definedName name="_xlnm._FilterDatabase" localSheetId="0" hidden="1">'端子1-原始'!$C$1:$E$76</definedName>
    <definedName name="_xlnm._FilterDatabase" localSheetId="3" hidden="1">符号表!$E$1:$G$74</definedName>
    <definedName name="_xlnm.Print_Area" localSheetId="0">'端子1-原始'!#REF!</definedName>
    <definedName name="_xlnm.Print_Area" localSheetId="3">符号表!#REF!</definedName>
    <definedName name="_xlnm.Print_Titles" localSheetId="7">项目测试!$1:$1</definedName>
    <definedName name="VW区" localSheetId="3">符号表!#REF!</definedName>
    <definedName name="VW区">'端子1-原始'!#REF!</definedName>
    <definedName name="V区" localSheetId="3">符号表!#REF!</definedName>
    <definedName name="V区">'端子1-原始'!#REF!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5" l="1"/>
  <c r="A6" i="15"/>
  <c r="A2" i="15"/>
  <c r="A3" i="15"/>
  <c r="A4" i="15"/>
  <c r="A5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L1" i="16"/>
  <c r="I1" i="16" a="1"/>
  <c r="I1" i="16" s="1"/>
  <c r="J1" i="16" s="1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2" i="16"/>
  <c r="A237" i="13" a="1"/>
  <c r="A237" i="13" s="1"/>
  <c r="B237" i="13" s="1"/>
  <c r="D237" i="13"/>
  <c r="A238" i="13" a="1"/>
  <c r="A238" i="13" s="1"/>
  <c r="B238" i="13" s="1"/>
  <c r="D238" i="13"/>
  <c r="A239" i="13" a="1"/>
  <c r="A239" i="13" s="1"/>
  <c r="B239" i="13" s="1"/>
  <c r="D239" i="13"/>
  <c r="A240" i="13" a="1"/>
  <c r="A240" i="13" s="1"/>
  <c r="B240" i="13" s="1"/>
  <c r="D240" i="13"/>
  <c r="A241" i="13" a="1"/>
  <c r="A241" i="13" s="1"/>
  <c r="B241" i="13" s="1"/>
  <c r="D241" i="13"/>
  <c r="A242" i="13" a="1"/>
  <c r="A242" i="13" s="1"/>
  <c r="B242" i="13" s="1"/>
  <c r="D242" i="13"/>
  <c r="A243" i="13" a="1"/>
  <c r="A243" i="13" s="1"/>
  <c r="B243" i="13" s="1"/>
  <c r="D243" i="13"/>
  <c r="A244" i="13" a="1"/>
  <c r="A244" i="13" s="1"/>
  <c r="B244" i="13" s="1"/>
  <c r="D244" i="13"/>
  <c r="A245" i="13" a="1"/>
  <c r="A245" i="13" s="1"/>
  <c r="B245" i="13" s="1"/>
  <c r="D245" i="13"/>
  <c r="A246" i="13" a="1"/>
  <c r="A246" i="13" s="1"/>
  <c r="B246" i="13" s="1"/>
  <c r="D246" i="13"/>
  <c r="A247" i="13" a="1"/>
  <c r="A247" i="13" s="1"/>
  <c r="B247" i="13" s="1"/>
  <c r="D247" i="13"/>
  <c r="A248" i="13" a="1"/>
  <c r="A248" i="13" s="1"/>
  <c r="B248" i="13" s="1"/>
  <c r="D248" i="13"/>
  <c r="A249" i="13" a="1"/>
  <c r="A249" i="13" s="1"/>
  <c r="B249" i="13" s="1"/>
  <c r="D249" i="13"/>
  <c r="A250" i="13" a="1"/>
  <c r="A250" i="13" s="1"/>
  <c r="B250" i="13" s="1"/>
  <c r="D250" i="13"/>
  <c r="A251" i="13" a="1"/>
  <c r="A251" i="13" s="1"/>
  <c r="B251" i="13" s="1"/>
  <c r="D251" i="13"/>
  <c r="A252" i="13" a="1"/>
  <c r="A252" i="13" s="1"/>
  <c r="B252" i="13" s="1"/>
  <c r="D252" i="13"/>
  <c r="A253" i="13" a="1"/>
  <c r="A253" i="13" s="1"/>
  <c r="B253" i="13" s="1"/>
  <c r="D253" i="13"/>
  <c r="A254" i="13" a="1"/>
  <c r="A254" i="13" s="1"/>
  <c r="B254" i="13" s="1"/>
  <c r="D254" i="13"/>
  <c r="A255" i="13" a="1"/>
  <c r="A255" i="13" s="1"/>
  <c r="B255" i="13" s="1"/>
  <c r="D255" i="13"/>
  <c r="A256" i="13" a="1"/>
  <c r="A256" i="13" s="1"/>
  <c r="B256" i="13" s="1"/>
  <c r="D256" i="13"/>
  <c r="A257" i="13" a="1"/>
  <c r="A257" i="13" s="1"/>
  <c r="B257" i="13" s="1"/>
  <c r="D257" i="13"/>
  <c r="A236" i="13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 s="1"/>
  <c r="B224" i="13" s="1"/>
  <c r="D224" i="13"/>
  <c r="A225" i="13" a="1"/>
  <c r="A225" i="13" s="1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 s="1"/>
  <c r="B228" i="13" s="1"/>
  <c r="D228" i="13"/>
  <c r="A229" i="13" a="1"/>
  <c r="A229" i="13" s="1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 s="1"/>
  <c r="B232" i="13" s="1"/>
  <c r="D232" i="13"/>
  <c r="A233" i="13" a="1"/>
  <c r="A233" i="13" s="1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 s="1"/>
  <c r="B121" i="13" s="1"/>
  <c r="D121" i="13"/>
  <c r="A122" i="13" a="1"/>
  <c r="A122" i="13" s="1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 s="1"/>
  <c r="B97" i="13" s="1"/>
  <c r="D97" i="13"/>
  <c r="A98" i="13" a="1"/>
  <c r="A98" i="13" s="1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 s="1"/>
  <c r="B101" i="13" s="1"/>
  <c r="D101" i="13"/>
  <c r="A102" i="13" a="1"/>
  <c r="A102" i="13" s="1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 s="1"/>
  <c r="B201" i="13" s="1"/>
  <c r="D201" i="13"/>
  <c r="A202" i="13" a="1"/>
  <c r="A202" i="13" s="1"/>
  <c r="B202" i="13" s="1"/>
  <c r="D202" i="13"/>
  <c r="D17" i="5"/>
  <c r="D16" i="5"/>
  <c r="A215" i="13" a="1"/>
  <c r="A215" i="13" s="1"/>
  <c r="B215" i="13" s="1"/>
  <c r="A216" i="13" a="1"/>
  <c r="A216" i="13" s="1"/>
  <c r="B216" i="13" s="1"/>
  <c r="A217" i="13" a="1"/>
  <c r="A217" i="13" s="1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25" i="13"/>
  <c r="D26" i="13"/>
  <c r="D27" i="13"/>
  <c r="D28" i="13"/>
  <c r="D29" i="13"/>
  <c r="D30" i="13"/>
  <c r="D31" i="13"/>
  <c r="D32" i="13"/>
  <c r="D33" i="13"/>
  <c r="D34" i="13"/>
  <c r="D35" i="13"/>
  <c r="D72" i="13"/>
  <c r="D36" i="13"/>
  <c r="D37" i="13"/>
  <c r="D38" i="13"/>
  <c r="D39" i="13"/>
  <c r="D40" i="13"/>
  <c r="D41" i="13"/>
  <c r="D42" i="13"/>
  <c r="D61" i="13"/>
  <c r="D62" i="13"/>
  <c r="D63" i="13"/>
  <c r="D64" i="13"/>
  <c r="D65" i="13"/>
  <c r="D66" i="13"/>
  <c r="D49" i="13"/>
  <c r="D50" i="13"/>
  <c r="D51" i="13"/>
  <c r="D52" i="13"/>
  <c r="D53" i="13"/>
  <c r="D54" i="13"/>
  <c r="D55" i="13"/>
  <c r="D56" i="13"/>
  <c r="D67" i="13"/>
  <c r="D68" i="13"/>
  <c r="D69" i="13"/>
  <c r="D70" i="13"/>
  <c r="D71" i="13"/>
  <c r="D43" i="13"/>
  <c r="D44" i="13"/>
  <c r="D45" i="13"/>
  <c r="D46" i="13"/>
  <c r="D47" i="13"/>
  <c r="D48" i="13"/>
  <c r="D57" i="13"/>
  <c r="D58" i="13"/>
  <c r="D59" i="13"/>
  <c r="D60" i="13"/>
  <c r="D73" i="13"/>
  <c r="D74" i="13"/>
  <c r="D75" i="13"/>
  <c r="D76" i="13"/>
  <c r="D77" i="13"/>
  <c r="D78" i="13"/>
  <c r="D19" i="13"/>
  <c r="D20" i="13"/>
  <c r="D21" i="13"/>
  <c r="D22" i="13"/>
  <c r="D23" i="13"/>
  <c r="D24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 s="1"/>
  <c r="B204" i="13" s="1"/>
  <c r="A209" i="13" a="1"/>
  <c r="A209" i="13" s="1"/>
  <c r="B209" i="13" s="1"/>
  <c r="A205" i="13" a="1"/>
  <c r="A205" i="13" s="1"/>
  <c r="B205" i="13" s="1"/>
  <c r="A206" i="13" a="1"/>
  <c r="A206" i="13" s="1"/>
  <c r="B206" i="13" s="1"/>
  <c r="A203" i="13" a="1"/>
  <c r="A203" i="13" s="1"/>
  <c r="B203" i="13" s="1"/>
  <c r="A200" i="13" a="1"/>
  <c r="A200" i="13" s="1"/>
  <c r="B200" i="13" s="1"/>
  <c r="A199" i="13" a="1"/>
  <c r="A199" i="13" s="1"/>
  <c r="B199" i="13" s="1"/>
  <c r="A198" i="13" a="1"/>
  <c r="A198" i="13" s="1"/>
  <c r="B198" i="13" s="1"/>
  <c r="A197" i="13" a="1"/>
  <c r="A197" i="13" s="1"/>
  <c r="B197" i="13" s="1"/>
  <c r="A223" i="13" a="1"/>
  <c r="A223" i="13" s="1"/>
  <c r="B223" i="13" s="1"/>
  <c r="A222" i="13" a="1"/>
  <c r="A222" i="13" s="1"/>
  <c r="B222" i="13" s="1"/>
  <c r="A221" i="13" a="1"/>
  <c r="A221" i="13" s="1"/>
  <c r="B221" i="13" s="1"/>
  <c r="A220" i="13" a="1"/>
  <c r="A220" i="13" s="1"/>
  <c r="B220" i="13" s="1"/>
  <c r="A207" i="13" a="1"/>
  <c r="A207" i="13" s="1"/>
  <c r="B207" i="13" s="1"/>
  <c r="A219" i="13" a="1"/>
  <c r="A219" i="13" s="1"/>
  <c r="B219" i="13" s="1"/>
  <c r="A218" i="13" a="1"/>
  <c r="A218" i="13" s="1"/>
  <c r="B218" i="13" s="1"/>
  <c r="A214" i="13" a="1"/>
  <c r="A214" i="13" s="1"/>
  <c r="B214" i="13" s="1"/>
  <c r="A213" i="13" a="1"/>
  <c r="A213" i="13" s="1"/>
  <c r="B213" i="13" s="1"/>
  <c r="A212" i="13" a="1"/>
  <c r="A212" i="13" s="1"/>
  <c r="B212" i="13" s="1"/>
  <c r="A211" i="13" a="1"/>
  <c r="A211" i="13" s="1"/>
  <c r="B211" i="13" s="1"/>
  <c r="A210" i="13" a="1"/>
  <c r="A210" i="13" s="1"/>
  <c r="B210" i="13" s="1"/>
  <c r="A208" i="13" a="1"/>
  <c r="A208" i="13" s="1"/>
  <c r="B208" i="13" s="1"/>
  <c r="A183" i="13" a="1"/>
  <c r="A183" i="13" s="1"/>
  <c r="B183" i="13" s="1"/>
  <c r="A182" i="13" a="1"/>
  <c r="A182" i="13" s="1"/>
  <c r="B182" i="13" s="1"/>
  <c r="A181" i="13" a="1"/>
  <c r="A181" i="13" s="1"/>
  <c r="B181" i="13" s="1"/>
  <c r="A180" i="13" a="1"/>
  <c r="A180" i="13" s="1"/>
  <c r="B180" i="13" s="1"/>
  <c r="A176" i="13" a="1"/>
  <c r="A176" i="13" s="1"/>
  <c r="B176" i="13" s="1"/>
  <c r="A175" i="13" a="1"/>
  <c r="A175" i="13" s="1"/>
  <c r="B175" i="13" s="1"/>
  <c r="A172" i="13" a="1"/>
  <c r="A172" i="13" s="1"/>
  <c r="B172" i="13" s="1"/>
  <c r="A171" i="13" a="1"/>
  <c r="A171" i="13" s="1"/>
  <c r="B171" i="13" s="1"/>
  <c r="A170" i="13" a="1"/>
  <c r="A170" i="13" s="1"/>
  <c r="B170" i="13" s="1"/>
  <c r="A169" i="13" a="1"/>
  <c r="A169" i="13" s="1"/>
  <c r="B169" i="13" s="1"/>
  <c r="A168" i="13" a="1"/>
  <c r="A168" i="13" s="1"/>
  <c r="B168" i="13" s="1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 s="1"/>
  <c r="B164" i="13" s="1"/>
  <c r="A162" i="13" a="1"/>
  <c r="A162" i="13" s="1"/>
  <c r="B162" i="13" s="1"/>
  <c r="A160" i="13" a="1"/>
  <c r="A160" i="13" s="1"/>
  <c r="B160" i="13" s="1"/>
  <c r="A159" i="13" a="1"/>
  <c r="A159" i="13" s="1"/>
  <c r="B159" i="13" s="1"/>
  <c r="A158" i="13" a="1"/>
  <c r="A158" i="13" s="1"/>
  <c r="B158" i="13" s="1"/>
  <c r="A157" i="13" a="1"/>
  <c r="A157" i="13" s="1"/>
  <c r="B157" i="13" s="1"/>
  <c r="A156" i="13" a="1"/>
  <c r="A156" i="13" s="1"/>
  <c r="B156" i="13" s="1"/>
  <c r="A155" i="13" a="1"/>
  <c r="A155" i="13" s="1"/>
  <c r="B155" i="13" s="1"/>
  <c r="A154" i="13" a="1"/>
  <c r="A154" i="13" s="1"/>
  <c r="B154" i="13" s="1"/>
  <c r="A153" i="13" a="1"/>
  <c r="A153" i="13" s="1"/>
  <c r="B153" i="13" s="1"/>
  <c r="A151" i="13" a="1"/>
  <c r="A151" i="13" s="1"/>
  <c r="B151" i="13" s="1"/>
  <c r="A150" i="13" a="1"/>
  <c r="A150" i="13" s="1"/>
  <c r="B150" i="13" s="1"/>
  <c r="A148" i="13" a="1"/>
  <c r="A148" i="13" s="1"/>
  <c r="B148" i="13" s="1"/>
  <c r="A147" i="13" a="1"/>
  <c r="A147" i="13" s="1"/>
  <c r="B147" i="13" s="1"/>
  <c r="A146" i="13" a="1"/>
  <c r="A146" i="13" s="1"/>
  <c r="B146" i="13" s="1"/>
  <c r="A145" i="13" a="1"/>
  <c r="A145" i="13" s="1"/>
  <c r="B145" i="13" s="1"/>
  <c r="A144" i="13" a="1"/>
  <c r="A144" i="13" s="1"/>
  <c r="B144" i="13" s="1"/>
  <c r="A143" i="13" a="1"/>
  <c r="A143" i="13" s="1"/>
  <c r="B143" i="13" s="1"/>
  <c r="A142" i="13" a="1"/>
  <c r="A142" i="13" s="1"/>
  <c r="B142" i="13" s="1"/>
  <c r="A140" i="13" a="1"/>
  <c r="A140" i="13" s="1"/>
  <c r="B140" i="13" s="1"/>
  <c r="A139" i="13" a="1"/>
  <c r="A139" i="13" s="1"/>
  <c r="B139" i="13" s="1"/>
  <c r="A138" i="13" a="1"/>
  <c r="A138" i="13" s="1"/>
  <c r="B138" i="13" s="1"/>
  <c r="A136" i="13" a="1"/>
  <c r="A136" i="13" s="1"/>
  <c r="B136" i="13" s="1"/>
  <c r="A135" i="13" a="1"/>
  <c r="A135" i="13" s="1"/>
  <c r="B135" i="13" s="1"/>
  <c r="A134" i="13" a="1"/>
  <c r="A134" i="13" s="1"/>
  <c r="B134" i="13" s="1"/>
  <c r="A133" i="13" a="1"/>
  <c r="A133" i="13" s="1"/>
  <c r="B133" i="13" s="1"/>
  <c r="A132" i="13" a="1"/>
  <c r="A132" i="13" s="1"/>
  <c r="B132" i="13" s="1"/>
  <c r="A131" i="13" a="1"/>
  <c r="A131" i="13" s="1"/>
  <c r="B131" i="13" s="1"/>
  <c r="A129" i="13" a="1"/>
  <c r="A129" i="13" s="1"/>
  <c r="B129" i="13" s="1"/>
  <c r="A128" i="13" a="1"/>
  <c r="A128" i="13" s="1"/>
  <c r="B128" i="13" s="1"/>
  <c r="A127" i="13" a="1"/>
  <c r="A127" i="13" s="1"/>
  <c r="B127" i="13" s="1"/>
  <c r="A126" i="13" a="1"/>
  <c r="A126" i="13" s="1"/>
  <c r="B126" i="13" s="1"/>
  <c r="A196" i="13" a="1"/>
  <c r="A196" i="13" s="1"/>
  <c r="B196" i="13" s="1"/>
  <c r="A195" i="13" a="1"/>
  <c r="A195" i="13" s="1"/>
  <c r="B195" i="13" s="1"/>
  <c r="A194" i="13" a="1"/>
  <c r="A194" i="13" s="1"/>
  <c r="B194" i="13" s="1"/>
  <c r="A193" i="13" a="1"/>
  <c r="A193" i="13" s="1"/>
  <c r="B193" i="13" s="1"/>
  <c r="A192" i="13" a="1"/>
  <c r="A192" i="13" s="1"/>
  <c r="B192" i="13" s="1"/>
  <c r="A191" i="13" a="1"/>
  <c r="A191" i="13" s="1"/>
  <c r="B191" i="13" s="1"/>
  <c r="A190" i="13" a="1"/>
  <c r="A190" i="13" s="1"/>
  <c r="B190" i="13" s="1"/>
  <c r="A189" i="13" a="1"/>
  <c r="A189" i="13" s="1"/>
  <c r="B189" i="13" s="1"/>
  <c r="A188" i="13" a="1"/>
  <c r="A188" i="13" s="1"/>
  <c r="B188" i="13" s="1"/>
  <c r="A185" i="13" a="1"/>
  <c r="A185" i="13" s="1"/>
  <c r="B185" i="13" s="1"/>
  <c r="A163" i="13" a="1"/>
  <c r="A163" i="13" s="1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 s="1"/>
  <c r="B124" i="13" s="1"/>
  <c r="A187" i="13" a="1"/>
  <c r="A187" i="13" s="1"/>
  <c r="B187" i="13" s="1"/>
  <c r="A186" i="13" a="1"/>
  <c r="A186" i="13" s="1"/>
  <c r="B186" i="13" s="1"/>
  <c r="A184" i="13" a="1"/>
  <c r="A184" i="13" s="1"/>
  <c r="B184" i="13" s="1"/>
  <c r="A179" i="13" a="1"/>
  <c r="A179" i="13" s="1"/>
  <c r="B179" i="13" s="1"/>
  <c r="A178" i="13" a="1"/>
  <c r="A178" i="13" s="1"/>
  <c r="B178" i="13" s="1"/>
  <c r="A177" i="13" a="1"/>
  <c r="A177" i="13" s="1"/>
  <c r="B177" i="13" s="1"/>
  <c r="A173" i="13" a="1"/>
  <c r="A173" i="13" s="1"/>
  <c r="B173" i="13" s="1"/>
  <c r="A161" i="13" a="1"/>
  <c r="A161" i="13" s="1"/>
  <c r="B161" i="13" s="1"/>
  <c r="A149" i="13" a="1"/>
  <c r="A149" i="13" s="1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 s="1"/>
  <c r="B123" i="13" s="1"/>
  <c r="A118" i="13" a="1"/>
  <c r="A118" i="13" s="1"/>
  <c r="B118" i="13" s="1"/>
  <c r="A117" i="13" a="1"/>
  <c r="A117" i="13" s="1"/>
  <c r="B117" i="13" s="1"/>
  <c r="A116" i="13" a="1"/>
  <c r="A116" i="13" s="1"/>
  <c r="B116" i="13" s="1"/>
  <c r="A115" i="13" a="1"/>
  <c r="A115" i="13" s="1"/>
  <c r="B115" i="13" s="1"/>
  <c r="A114" i="13" a="1"/>
  <c r="A114" i="13" s="1"/>
  <c r="B114" i="13" s="1"/>
  <c r="A113" i="13" a="1"/>
  <c r="A113" i="13" s="1"/>
  <c r="B113" i="13" s="1"/>
  <c r="A112" i="13" a="1"/>
  <c r="A112" i="13" s="1"/>
  <c r="B112" i="13" s="1"/>
  <c r="A111" i="13" a="1"/>
  <c r="A111" i="13" s="1"/>
  <c r="B111" i="13" s="1"/>
  <c r="A110" i="13" a="1"/>
  <c r="A110" i="13" s="1"/>
  <c r="B110" i="13" s="1"/>
  <c r="A109" i="13" a="1"/>
  <c r="A109" i="13" s="1"/>
  <c r="B109" i="13" s="1"/>
  <c r="A108" i="13" a="1"/>
  <c r="A108" i="13" s="1"/>
  <c r="B108" i="13" s="1"/>
  <c r="A107" i="13" a="1"/>
  <c r="A107" i="13" s="1"/>
  <c r="B107" i="13" s="1"/>
  <c r="A106" i="13" a="1"/>
  <c r="A106" i="13" s="1"/>
  <c r="B106" i="13" s="1"/>
  <c r="A105" i="13" a="1"/>
  <c r="A105" i="13" s="1"/>
  <c r="B105" i="13" s="1"/>
  <c r="A94" i="13" a="1"/>
  <c r="A94" i="13" s="1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 s="1"/>
  <c r="B90" i="13" s="1"/>
  <c r="A89" i="13" a="1"/>
  <c r="A89" i="13" s="1"/>
  <c r="B89" i="13" s="1"/>
  <c r="A88" i="13" a="1"/>
  <c r="A88" i="13" s="1"/>
  <c r="B88" i="13" s="1"/>
  <c r="A87" i="13" a="1"/>
  <c r="A87" i="13" s="1"/>
  <c r="B87" i="13" s="1"/>
  <c r="A86" i="13" a="1"/>
  <c r="A86" i="13" s="1"/>
  <c r="B86" i="13" s="1"/>
  <c r="A85" i="13" a="1"/>
  <c r="A85" i="13" s="1"/>
  <c r="B85" i="13" s="1"/>
  <c r="A84" i="13" a="1"/>
  <c r="A84" i="13" s="1"/>
  <c r="B84" i="13" s="1"/>
  <c r="A83" i="13" a="1"/>
  <c r="A83" i="13" s="1"/>
  <c r="B83" i="13" s="1"/>
  <c r="A82" i="13" a="1"/>
  <c r="A82" i="13" s="1"/>
  <c r="B82" i="13" s="1"/>
  <c r="A81" i="13" a="1"/>
  <c r="A81" i="13" s="1"/>
  <c r="B81" i="13" s="1"/>
  <c r="A80" i="13" a="1"/>
  <c r="A80" i="13" s="1"/>
  <c r="B80" i="13" s="1"/>
  <c r="A79" i="13" a="1"/>
  <c r="A79" i="13" s="1"/>
  <c r="B79" i="13" s="1"/>
  <c r="A24" i="13" a="1"/>
  <c r="A24" i="13" s="1"/>
  <c r="B24" i="13" s="1"/>
  <c r="A23" i="13" a="1"/>
  <c r="A23" i="13" s="1"/>
  <c r="B23" i="13" s="1"/>
  <c r="A22" i="13" a="1"/>
  <c r="A22" i="13" s="1"/>
  <c r="B22" i="13" s="1"/>
  <c r="A21" i="13" a="1"/>
  <c r="A21" i="13" s="1"/>
  <c r="B21" i="13" s="1"/>
  <c r="A20" i="13" a="1"/>
  <c r="A20" i="13" s="1"/>
  <c r="B20" i="13" s="1"/>
  <c r="A19" i="13" a="1"/>
  <c r="A19" i="13" s="1"/>
  <c r="B19" i="13" s="1"/>
  <c r="A78" i="13" a="1"/>
  <c r="A78" i="13" s="1"/>
  <c r="B78" i="13" s="1"/>
  <c r="A77" i="13" a="1"/>
  <c r="A77" i="13" s="1"/>
  <c r="B77" i="13" s="1"/>
  <c r="A76" i="13" a="1"/>
  <c r="A76" i="13" s="1"/>
  <c r="B76" i="13" s="1"/>
  <c r="A75" i="13" a="1"/>
  <c r="A75" i="13" s="1"/>
  <c r="B75" i="13" s="1"/>
  <c r="A74" i="13" a="1"/>
  <c r="A74" i="13" s="1"/>
  <c r="B74" i="13" s="1"/>
  <c r="A73" i="13" a="1"/>
  <c r="A73" i="13" s="1"/>
  <c r="B73" i="13" s="1"/>
  <c r="A60" i="13" a="1"/>
  <c r="A60" i="13" s="1"/>
  <c r="B60" i="13" s="1"/>
  <c r="A59" i="13" a="1"/>
  <c r="A59" i="13" s="1"/>
  <c r="B59" i="13" s="1"/>
  <c r="A58" i="13" a="1"/>
  <c r="A58" i="13" s="1"/>
  <c r="B58" i="13" s="1"/>
  <c r="A57" i="13" a="1"/>
  <c r="A57" i="13" s="1"/>
  <c r="B57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 s="1"/>
  <c r="B45" i="13" s="1"/>
  <c r="A44" i="13" a="1"/>
  <c r="A44" i="13" s="1"/>
  <c r="B44" i="13" s="1"/>
  <c r="A43" i="13" a="1"/>
  <c r="A43" i="13" s="1"/>
  <c r="B43" i="13" s="1"/>
  <c r="A71" i="13" a="1"/>
  <c r="A71" i="13" s="1"/>
  <c r="B71" i="13" s="1"/>
  <c r="A70" i="13" a="1"/>
  <c r="A70" i="13" s="1"/>
  <c r="B70" i="13" s="1"/>
  <c r="A69" i="13" a="1"/>
  <c r="A69" i="13" s="1"/>
  <c r="B69" i="13" s="1"/>
  <c r="A68" i="13" a="1"/>
  <c r="A68" i="13" s="1"/>
  <c r="B68" i="13" s="1"/>
  <c r="A67" i="13" a="1"/>
  <c r="A67" i="13" s="1"/>
  <c r="B67" i="13" s="1"/>
  <c r="A56" i="13" a="1"/>
  <c r="A56" i="13" s="1"/>
  <c r="B56" i="13" s="1"/>
  <c r="A55" i="13" a="1"/>
  <c r="A55" i="13"/>
  <c r="B55" i="13" s="1"/>
  <c r="A54" i="13" a="1"/>
  <c r="A54" i="13" s="1"/>
  <c r="B54" i="13" s="1"/>
  <c r="A53" i="13" a="1"/>
  <c r="A53" i="13" s="1"/>
  <c r="B53" i="13" s="1"/>
  <c r="A52" i="13" a="1"/>
  <c r="A52" i="13" s="1"/>
  <c r="B52" i="13" s="1"/>
  <c r="A51" i="13" a="1"/>
  <c r="A51" i="13" s="1"/>
  <c r="B51" i="13" s="1"/>
  <c r="A50" i="13" a="1"/>
  <c r="A50" i="13" s="1"/>
  <c r="B50" i="13" s="1"/>
  <c r="A49" i="13" a="1"/>
  <c r="A49" i="13" s="1"/>
  <c r="B49" i="13" s="1"/>
  <c r="A66" i="13" a="1"/>
  <c r="A66" i="13" s="1"/>
  <c r="B66" i="13" s="1"/>
  <c r="A65" i="13" a="1"/>
  <c r="A65" i="13" s="1"/>
  <c r="B65" i="13" s="1"/>
  <c r="A64" i="13" a="1"/>
  <c r="A64" i="13" s="1"/>
  <c r="B64" i="13" s="1"/>
  <c r="A63" i="13" a="1"/>
  <c r="A63" i="13" s="1"/>
  <c r="B63" i="13" s="1"/>
  <c r="A62" i="13" a="1"/>
  <c r="A62" i="13" s="1"/>
  <c r="B62" i="13" s="1"/>
  <c r="A61" i="13" a="1"/>
  <c r="A61" i="13" s="1"/>
  <c r="B61" i="13" s="1"/>
  <c r="A42" i="13" a="1"/>
  <c r="A42" i="13" s="1"/>
  <c r="B42" i="13" s="1"/>
  <c r="A41" i="13" a="1"/>
  <c r="A41" i="13" s="1"/>
  <c r="B41" i="13" s="1"/>
  <c r="A40" i="13" a="1"/>
  <c r="A40" i="13"/>
  <c r="B40" i="13" s="1"/>
  <c r="A39" i="13" a="1"/>
  <c r="A39" i="13" s="1"/>
  <c r="B39" i="13" s="1"/>
  <c r="A38" i="13" a="1"/>
  <c r="A38" i="13" s="1"/>
  <c r="B38" i="13" s="1"/>
  <c r="A37" i="13" a="1"/>
  <c r="A37" i="13" s="1"/>
  <c r="B37" i="13" s="1"/>
  <c r="A36" i="13" a="1"/>
  <c r="A36" i="13" s="1"/>
  <c r="B36" i="13" s="1"/>
  <c r="A72" i="13" a="1"/>
  <c r="A72" i="13" s="1"/>
  <c r="B72" i="13" s="1"/>
  <c r="A35" i="13" a="1"/>
  <c r="A35" i="13" s="1"/>
  <c r="B35" i="13" s="1"/>
  <c r="A34" i="13" a="1"/>
  <c r="A34" i="13" s="1"/>
  <c r="B34" i="13" s="1"/>
  <c r="A33" i="13" a="1"/>
  <c r="A33" i="13" s="1"/>
  <c r="B33" i="13" s="1"/>
  <c r="A32" i="13" a="1"/>
  <c r="A32" i="13" s="1"/>
  <c r="B32" i="13" s="1"/>
  <c r="A31" i="13" a="1"/>
  <c r="A31" i="13" s="1"/>
  <c r="B31" i="13" s="1"/>
  <c r="A30" i="13" a="1"/>
  <c r="A30" i="13" s="1"/>
  <c r="B30" i="13" s="1"/>
  <c r="A29" i="13" a="1"/>
  <c r="A29" i="13" s="1"/>
  <c r="B29" i="13" s="1"/>
  <c r="A28" i="13" a="1"/>
  <c r="A28" i="13" s="1"/>
  <c r="B28" i="13" s="1"/>
  <c r="A27" i="13" a="1"/>
  <c r="A27" i="13" s="1"/>
  <c r="B27" i="13" s="1"/>
  <c r="A26" i="13" a="1"/>
  <c r="A26" i="13" s="1"/>
  <c r="B26" i="13" s="1"/>
  <c r="A25" i="13" a="1"/>
  <c r="A25" i="13" s="1"/>
  <c r="B25" i="13" s="1"/>
  <c r="A18" i="13" a="1"/>
  <c r="A18" i="13" s="1"/>
  <c r="B18" i="13" s="1"/>
  <c r="A17" i="13" a="1"/>
  <c r="A17" i="13" s="1"/>
  <c r="B17" i="13" s="1"/>
  <c r="A16" i="13" a="1"/>
  <c r="A16" i="13" s="1"/>
  <c r="B16" i="13" s="1"/>
  <c r="A15" i="13" a="1"/>
  <c r="A15" i="13" s="1"/>
  <c r="B15" i="13" s="1"/>
  <c r="A13" i="13" a="1"/>
  <c r="A13" i="13" s="1"/>
  <c r="B13" i="13" s="1"/>
  <c r="A12" i="13" a="1"/>
  <c r="A12" i="13" s="1"/>
  <c r="B12" i="13" s="1"/>
  <c r="A11" i="13" a="1"/>
  <c r="A11" i="13" s="1"/>
  <c r="B11" i="13" s="1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 s="1"/>
  <c r="B14" i="13" s="1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</calcChain>
</file>

<file path=xl/sharedStrings.xml><?xml version="1.0" encoding="utf-8"?>
<sst xmlns="http://schemas.openxmlformats.org/spreadsheetml/2006/main" count="2936" uniqueCount="1632">
  <si>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</si>
  <si>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</si>
  <si>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</si>
  <si>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</si>
  <si>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</si>
  <si>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</si>
  <si>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</si>
  <si>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</si>
  <si>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</si>
  <si>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</si>
  <si>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</si>
  <si>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</si>
  <si>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</si>
  <si>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</si>
  <si>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</si>
  <si>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</si>
  <si>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</si>
  <si>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</si>
  <si>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</si>
  <si>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</si>
  <si>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</si>
  <si>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</si>
  <si>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</si>
  <si>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</si>
  <si>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</si>
  <si>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</si>
  <si>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</si>
  <si>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</si>
  <si>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</si>
  <si>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</si>
  <si>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</si>
  <si>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</si>
  <si>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</si>
  <si>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</si>
  <si>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</si>
  <si>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</si>
  <si>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</si>
  <si>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</si>
  <si>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</si>
  <si>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</si>
  <si>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</si>
  <si>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</si>
  <si>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</si>
  <si>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</si>
  <si>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</si>
  <si>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</si>
  <si>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</si>
  <si>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</si>
  <si>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</si>
  <si>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</si>
  <si>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</si>
  <si>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</si>
  <si>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</si>
  <si>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</si>
  <si>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</si>
  <si>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</si>
  <si>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</si>
  <si>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</si>
  <si>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</si>
  <si>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</si>
  <si>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</si>
  <si>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</si>
  <si>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</si>
  <si>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</si>
  <si>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</si>
  <si>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</si>
  <si>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</si>
  <si>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</si>
  <si>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</si>
  <si>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</si>
  <si>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</si>
  <si>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</si>
  <si>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</si>
  <si>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</si>
  <si>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</si>
  <si>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</si>
  <si>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</si>
  <si>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</si>
  <si>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</si>
  <si>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</si>
  <si>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</si>
  <si>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</si>
  <si>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</si>
  <si>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</si>
  <si>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</si>
  <si>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</si>
  <si>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</si>
  <si>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</si>
  <si>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</si>
  <si>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</si>
  <si>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</si>
  <si>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</si>
  <si>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</si>
  <si>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</si>
  <si>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</si>
  <si>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</si>
  <si>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</si>
  <si>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</si>
  <si>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</si>
  <si>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</si>
  <si>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</si>
  <si>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</si>
  <si>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</si>
  <si>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</si>
  <si>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</si>
  <si>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</si>
  <si>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</si>
  <si>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</si>
  <si>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</si>
  <si>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</si>
  <si>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</si>
  <si>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</si>
  <si>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</si>
  <si>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</si>
  <si>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</si>
  <si>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</si>
  <si>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</si>
  <si>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</si>
  <si>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</si>
  <si>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</si>
  <si>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</si>
  <si>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</si>
  <si>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</si>
  <si>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</si>
  <si>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</si>
  <si>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</si>
  <si>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</si>
  <si>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</si>
  <si>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</si>
  <si>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</si>
  <si>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</si>
  <si>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</si>
  <si>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</si>
  <si>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</si>
  <si>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</si>
  <si>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</si>
  <si>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</si>
  <si>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</si>
  <si>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</si>
  <si>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</si>
  <si>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</si>
  <si>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</si>
  <si>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</si>
  <si>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</si>
  <si>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</si>
  <si>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</si>
  <si>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</si>
  <si>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</si>
  <si>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</si>
  <si>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</si>
  <si>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</si>
  <si>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</si>
  <si>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</si>
  <si>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</si>
  <si>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</si>
  <si>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</si>
  <si>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</si>
  <si>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</si>
  <si>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</si>
  <si>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</si>
  <si>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</si>
  <si>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</si>
  <si>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</si>
  <si>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</si>
  <si>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</si>
  <si>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</si>
  <si>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</si>
  <si>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</si>
  <si>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</si>
  <si>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</si>
  <si>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</si>
  <si>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</si>
  <si>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</si>
  <si>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</si>
  <si>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</si>
  <si>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</si>
  <si>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</si>
  <si>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</si>
  <si>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</si>
  <si>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</si>
  <si>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family val="3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</si>
  <si>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</si>
  <si>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</si>
  <si>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</si>
  <si>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</si>
  <si>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</si>
  <si>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</si>
  <si>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</si>
  <si>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</si>
  <si>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</si>
  <si>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</si>
  <si>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</si>
  <si>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</si>
  <si>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</si>
  <si>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</si>
  <si>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</si>
  <si>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</si>
  <si>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</si>
  <si>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</si>
  <si>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</si>
  <si>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</si>
  <si>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</si>
  <si>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</si>
  <si>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</si>
  <si>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</si>
  <si>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</si>
  <si>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</si>
  <si>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</si>
  <si>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</si>
  <si>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</si>
  <si>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</si>
  <si>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</si>
  <si>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</si>
  <si>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</si>
  <si>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</si>
  <si>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</si>
  <si>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</si>
  <si>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</si>
  <si>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</si>
  <si>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</si>
  <si>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</si>
  <si>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</si>
  <si>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</si>
  <si>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</si>
  <si>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</si>
  <si>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</si>
  <si>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</si>
  <si>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</si>
  <si>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</si>
  <si>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</si>
  <si>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</si>
  <si>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</si>
  <si>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</si>
  <si>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</si>
  <si>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</si>
  <si>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</si>
  <si>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</si>
  <si>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</si>
  <si>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</si>
  <si>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</si>
  <si>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</si>
  <si>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</si>
  <si>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</si>
  <si>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</si>
  <si>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</si>
  <si>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</si>
  <si>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</si>
  <si>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</si>
  <si>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</si>
  <si>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</si>
  <si>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</si>
  <si>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</si>
  <si>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</si>
  <si>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</si>
  <si>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</si>
  <si>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</si>
  <si>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</si>
  <si>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</si>
  <si>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</si>
  <si>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</si>
  <si>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</si>
  <si>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</si>
  <si>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</si>
  <si>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</si>
  <si>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</si>
  <si>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</si>
  <si>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</si>
  <si>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</si>
  <si>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</si>
  <si>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</si>
  <si>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</si>
  <si>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</si>
  <si>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</si>
  <si>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</si>
  <si>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</si>
  <si>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</si>
  <si>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</si>
  <si>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</si>
  <si>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</si>
  <si>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</si>
  <si>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</si>
  <si>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</si>
  <si>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</si>
  <si>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</si>
  <si>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</si>
  <si>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</si>
  <si>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</si>
  <si>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</si>
  <si>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</si>
  <si>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</si>
  <si>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</si>
  <si>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</si>
  <si>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</si>
  <si>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</si>
  <si>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</si>
  <si>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</si>
  <si>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</si>
  <si>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</si>
  <si>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</si>
  <si>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</si>
  <si>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</si>
  <si>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</si>
  <si>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</si>
  <si>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</si>
  <si>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</si>
  <si>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</si>
  <si>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</si>
  <si>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</si>
  <si>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</si>
  <si>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</si>
  <si>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</si>
  <si>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</si>
  <si>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</si>
  <si>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</si>
  <si>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</si>
  <si>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</si>
  <si>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</si>
  <si>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</si>
  <si>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</si>
  <si>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</si>
  <si>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</si>
  <si>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</si>
  <si>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</si>
  <si>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</si>
  <si>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</si>
  <si>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</si>
  <si>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</si>
  <si>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</si>
  <si>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</si>
  <si>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</si>
  <si>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</si>
  <si>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</si>
  <si>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</si>
  <si>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</si>
  <si>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</si>
  <si>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</si>
  <si>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</si>
  <si>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</si>
  <si>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</si>
  <si>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</si>
  <si>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</si>
  <si>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</si>
  <si>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</si>
  <si>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</si>
  <si>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</si>
  <si>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</si>
  <si>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</si>
  <si>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</si>
  <si>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</si>
  <si>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</si>
  <si>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</si>
  <si>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</si>
  <si>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</si>
  <si>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</si>
  <si>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</si>
  <si>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</si>
  <si>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</si>
  <si>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</si>
  <si>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</si>
  <si>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</si>
  <si>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</si>
  <si>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</si>
  <si>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</si>
  <si>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</si>
  <si>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</si>
  <si>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</si>
  <si>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</si>
  <si>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</si>
  <si>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</si>
  <si>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</si>
  <si>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</si>
  <si>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</si>
  <si>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</si>
  <si>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</si>
  <si>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</si>
  <si>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</si>
  <si>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</si>
  <si>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</si>
  <si>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</si>
  <si>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</si>
  <si>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</si>
  <si>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</si>
  <si>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</si>
  <si>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</si>
  <si>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</si>
  <si>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</si>
  <si>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</si>
  <si>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</si>
  <si>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</si>
  <si>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</si>
  <si>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</si>
  <si>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</si>
  <si>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</si>
  <si>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</si>
  <si>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</si>
  <si>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</si>
  <si>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</si>
  <si>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</si>
  <si>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</si>
  <si>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</si>
  <si>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</si>
  <si>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</si>
  <si>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</si>
  <si>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</si>
  <si>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</si>
  <si>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</si>
  <si>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</si>
  <si>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</si>
  <si>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</si>
  <si>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</si>
  <si>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</si>
  <si>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</si>
  <si>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</si>
  <si>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</si>
  <si>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</si>
  <si>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</si>
  <si>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</si>
  <si>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</si>
  <si>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</si>
  <si>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</si>
  <si>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</si>
  <si>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</si>
  <si>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</si>
  <si>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</si>
  <si>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</si>
  <si>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</si>
  <si>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</si>
  <si>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</si>
  <si>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</si>
  <si>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</si>
  <si>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</si>
  <si>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</si>
  <si>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</si>
  <si>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</si>
  <si>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</si>
  <si>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</si>
  <si>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</si>
  <si>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</si>
  <si>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</si>
  <si>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</si>
  <si>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</si>
  <si>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</si>
  <si>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</si>
  <si>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</si>
  <si>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</si>
  <si>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</si>
  <si>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</si>
  <si>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</si>
  <si>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</si>
  <si>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</si>
  <si>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</si>
  <si>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</si>
  <si>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</si>
  <si>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</si>
  <si>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</si>
  <si>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</si>
  <si>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</si>
  <si>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</si>
  <si>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</si>
  <si>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</si>
  <si>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</si>
  <si>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</si>
  <si>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</si>
  <si>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</si>
  <si>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</si>
  <si>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</si>
  <si>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</si>
  <si>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</si>
  <si>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</si>
  <si>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</si>
  <si>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</si>
  <si>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</si>
  <si>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</si>
  <si>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</si>
  <si>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</si>
  <si>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</si>
  <si>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</si>
  <si>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</si>
  <si>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</si>
  <si>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</si>
  <si>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</si>
  <si>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</si>
  <si>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</si>
  <si>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</si>
  <si>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</si>
  <si>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</si>
  <si>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</si>
  <si>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</si>
  <si>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</si>
  <si>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</si>
  <si>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</si>
  <si>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</si>
  <si>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</si>
  <si>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</si>
  <si>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</si>
  <si>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</si>
  <si>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</si>
  <si>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</si>
  <si>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</si>
  <si>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</si>
  <si>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</si>
  <si>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</si>
  <si>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</si>
  <si>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</si>
  <si>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</si>
  <si>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</si>
  <si>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</si>
  <si>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</si>
  <si>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</si>
  <si>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</si>
  <si>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</si>
  <si>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</si>
  <si>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</si>
  <si>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</si>
  <si>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</si>
  <si>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</si>
  <si>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</si>
  <si>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</si>
  <si>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</si>
  <si>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</si>
  <si>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</si>
  <si>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</si>
  <si>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</si>
  <si>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</si>
  <si>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</si>
  <si>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</si>
  <si>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</si>
  <si>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</si>
  <si>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</si>
  <si>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</si>
  <si>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</si>
  <si>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</si>
  <si>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</si>
  <si>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</si>
  <si>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</si>
  <si>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</si>
  <si>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</si>
  <si>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</si>
  <si>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</si>
  <si>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</si>
  <si>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</si>
  <si>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</si>
  <si>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</si>
  <si>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</si>
  <si>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</si>
  <si>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</si>
  <si>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</si>
  <si>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</si>
  <si>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</si>
  <si>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</si>
  <si>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</si>
  <si>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</si>
  <si>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</si>
  <si>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</si>
  <si>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</si>
  <si>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</si>
  <si>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</si>
  <si>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</si>
  <si>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</si>
  <si>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</si>
  <si>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</si>
  <si>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</si>
  <si>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</si>
  <si>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</si>
  <si>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</si>
  <si>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</si>
  <si>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</si>
  <si>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</si>
  <si>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</si>
  <si>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</si>
  <si>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</si>
  <si>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</si>
  <si>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</si>
  <si>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</si>
  <si>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</si>
  <si>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</si>
  <si>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</si>
  <si>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</si>
  <si>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</si>
  <si>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</si>
  <si>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</si>
  <si>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</si>
  <si>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</si>
  <si>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</si>
  <si>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</si>
  <si>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</si>
  <si>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</si>
  <si>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</si>
  <si>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</si>
  <si>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</si>
  <si>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</si>
  <si>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</si>
  <si>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</si>
  <si>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</si>
  <si>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</si>
  <si>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</si>
  <si>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</si>
  <si>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</si>
  <si>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</si>
  <si>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</si>
  <si>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</si>
  <si>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</si>
  <si>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</si>
  <si>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</si>
  <si>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</si>
  <si>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</si>
  <si>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</si>
  <si>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</si>
  <si>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</si>
  <si>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</si>
  <si>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</si>
  <si>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</si>
  <si>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</si>
  <si>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</si>
  <si>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</si>
  <si>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</si>
  <si>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</si>
  <si>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</si>
  <si>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</si>
  <si>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</si>
  <si>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</si>
  <si>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</si>
  <si>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</si>
  <si>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</si>
  <si>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</si>
  <si>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</si>
  <si>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</si>
  <si>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</si>
  <si>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</si>
  <si>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</si>
  <si>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</si>
  <si>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</si>
  <si>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</si>
  <si>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</si>
  <si>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</si>
  <si>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</si>
  <si>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</si>
  <si>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</si>
  <si>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</si>
  <si>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</si>
  <si>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</si>
  <si>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</si>
  <si>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</si>
  <si>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</si>
  <si>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</si>
  <si>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</si>
  <si>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</si>
  <si>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</si>
  <si>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</si>
  <si>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</si>
  <si>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</si>
  <si>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</si>
  <si>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</si>
  <si>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</si>
  <si>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</si>
  <si>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</si>
  <si>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</si>
  <si>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</si>
  <si>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</si>
  <si>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</si>
  <si>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</si>
  <si>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</si>
  <si>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</si>
  <si>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</si>
  <si>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</si>
  <si>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</si>
  <si>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</si>
  <si>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</si>
  <si>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</si>
  <si>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</si>
  <si>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</si>
  <si>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</si>
  <si>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</si>
  <si>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</si>
  <si>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</si>
  <si>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</si>
  <si>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</si>
  <si>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</si>
  <si>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</si>
  <si>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</si>
  <si>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</si>
  <si>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</si>
  <si>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</si>
  <si>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</si>
  <si>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</si>
  <si>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</si>
  <si>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</si>
  <si>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</si>
  <si>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</si>
  <si>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</si>
  <si>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</si>
  <si>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</si>
  <si>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</si>
  <si>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</si>
  <si>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</si>
  <si>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</si>
  <si>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</si>
  <si>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</si>
  <si>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</si>
  <si>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</si>
  <si>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</si>
  <si>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</si>
  <si>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</si>
  <si>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</si>
  <si>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</si>
  <si>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</si>
  <si>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</si>
  <si>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</si>
  <si>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</si>
  <si>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</si>
  <si>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</si>
  <si>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</si>
  <si>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</si>
  <si>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</si>
  <si>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</si>
  <si>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</si>
  <si>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</si>
  <si>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</si>
  <si>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</si>
  <si>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C0</t>
  </si>
  <si>
    <t>C1</t>
  </si>
  <si>
    <t>C2</t>
  </si>
  <si>
    <t>C3</t>
  </si>
  <si>
    <t>C4</t>
  </si>
  <si>
    <t>C5</t>
  </si>
  <si>
    <t>Sys_Time_Minutes_CNT</t>
  </si>
  <si>
    <t>C100</t>
  </si>
  <si>
    <t>Sys_Time_Hours_CNT</t>
  </si>
  <si>
    <t>C101</t>
  </si>
  <si>
    <t>Sys_Time_Repeat_CNT</t>
  </si>
  <si>
    <t>C102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</si>
  <si>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</si>
  <si>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</si>
  <si>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</si>
  <si>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</si>
  <si>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</si>
  <si>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</si>
  <si>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</si>
  <si>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</si>
  <si>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</si>
  <si>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</si>
  <si>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</si>
  <si>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</si>
  <si>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</si>
  <si>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</si>
  <si>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</si>
  <si>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</si>
  <si>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</si>
  <si>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</si>
  <si>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M4.0</t>
  </si>
  <si>
    <t>系统安全回路检测 标志，如压力、检漏、前火检等</t>
  </si>
  <si>
    <t>MBUS_INIT Error 错误码</t>
  </si>
  <si>
    <t>MBUS_SLAVE Error 错误码</t>
  </si>
  <si>
    <t>T_Purge_Duration</t>
  </si>
  <si>
    <t>吹扫时长定时器</t>
  </si>
  <si>
    <t>T_Ignite_Delay</t>
  </si>
  <si>
    <t>T_VAL_Open_Delay</t>
  </si>
  <si>
    <t>大火阀开启延时定时器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</si>
  <si>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</si>
  <si>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</si>
  <si>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</si>
  <si>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</si>
  <si>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</si>
  <si>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</si>
  <si>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</si>
  <si>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</si>
  <si>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</si>
  <si>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T_Flame_Pre_Detect</t>
  </si>
  <si>
    <t>前火焰检测延时定时器</t>
  </si>
  <si>
    <t>V0.0</t>
  </si>
  <si>
    <t>空气压力低故障</t>
  </si>
  <si>
    <t>燃气压力高故障</t>
  </si>
  <si>
    <t>燃气压力低故障</t>
  </si>
  <si>
    <t>I_Flame_STS</t>
  </si>
  <si>
    <t>火焰信号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</si>
  <si>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</si>
  <si>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</si>
  <si>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</si>
  <si>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</si>
  <si>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</si>
  <si>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</si>
  <si>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</si>
  <si>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</si>
  <si>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V2.0</t>
  </si>
  <si>
    <t>Q_Valve_Cut_Open</t>
  </si>
  <si>
    <t>主火切断阀打开命令</t>
  </si>
  <si>
    <t>Q_TA_Spark</t>
  </si>
  <si>
    <t>变压器打火指令</t>
  </si>
  <si>
    <t>有火指示灯</t>
  </si>
  <si>
    <t>运行指示灯</t>
  </si>
  <si>
    <t>Q_Valve_Safety_Open</t>
  </si>
  <si>
    <t>安全阀打开命令</t>
  </si>
  <si>
    <t>M_Local_Remote_FLG</t>
  </si>
  <si>
    <t>本地远程标志，1本地，0远程</t>
  </si>
  <si>
    <t>手动升档，触摸屏虚拟按钮</t>
  </si>
  <si>
    <t>手动降档，触摸屏虚拟按钮</t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</si>
  <si>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</si>
  <si>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</si>
  <si>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</si>
  <si>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</si>
  <si>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</si>
  <si>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</si>
  <si>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</si>
  <si>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</si>
  <si>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</si>
  <si>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</si>
  <si>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</si>
  <si>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</si>
  <si>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</si>
  <si>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</si>
  <si>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</si>
  <si>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</si>
  <si>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</si>
  <si>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</si>
  <si>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</si>
  <si>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</si>
  <si>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</si>
  <si>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</si>
  <si>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</si>
  <si>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</si>
  <si>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</si>
  <si>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</si>
  <si>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</si>
  <si>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</si>
  <si>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</si>
  <si>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</si>
  <si>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</si>
  <si>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</si>
  <si>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</si>
  <si>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</si>
  <si>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</si>
  <si>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</si>
  <si>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</si>
  <si>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</si>
  <si>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</si>
  <si>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</si>
  <si>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</si>
  <si>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</si>
  <si>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</si>
  <si>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</si>
  <si>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</si>
  <si>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</si>
  <si>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</si>
  <si>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</si>
  <si>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</si>
  <si>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</si>
  <si>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</si>
  <si>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</si>
  <si>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</si>
  <si>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</si>
  <si>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</si>
  <si>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</si>
  <si>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</si>
  <si>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</si>
  <si>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</si>
  <si>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</si>
  <si>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</si>
  <si>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</si>
  <si>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</si>
  <si>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</si>
  <si>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</si>
  <si>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</si>
  <si>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</si>
  <si>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</si>
  <si>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</si>
  <si>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</si>
  <si>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</si>
  <si>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</si>
  <si>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</si>
  <si>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</si>
  <si>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</si>
  <si>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</si>
  <si>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</si>
  <si>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</si>
  <si>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</si>
  <si>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</si>
  <si>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</si>
  <si>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</si>
  <si>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</si>
  <si>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</si>
  <si>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</si>
  <si>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</si>
  <si>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</si>
  <si>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</si>
  <si>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</si>
  <si>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</si>
  <si>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</si>
  <si>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</si>
  <si>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</si>
  <si>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</si>
  <si>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</si>
  <si>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</si>
  <si>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</si>
  <si>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</si>
  <si>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</si>
  <si>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</si>
  <si>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</si>
  <si>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</si>
  <si>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</si>
  <si>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</si>
  <si>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</si>
  <si>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</si>
  <si>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</si>
  <si>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</si>
  <si>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</si>
  <si>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</si>
  <si>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</si>
  <si>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</si>
  <si>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</si>
  <si>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</si>
  <si>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</si>
  <si>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</si>
  <si>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</si>
  <si>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</si>
  <si>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</si>
  <si>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</si>
  <si>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</si>
  <si>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</si>
  <si>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</si>
  <si>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</si>
  <si>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</si>
  <si>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</si>
  <si>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</si>
  <si>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</si>
  <si>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</si>
  <si>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</si>
  <si>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Stage1_Temp_CT</t>
  </si>
  <si>
    <t>Stage2_Temp_CT</t>
  </si>
  <si>
    <t>Stage3_Temp_CT</t>
  </si>
  <si>
    <t>Stage4_Temp_CT</t>
  </si>
  <si>
    <t>Stage5_Temp_CT</t>
  </si>
  <si>
    <t>Stage6_Temp_CT</t>
  </si>
  <si>
    <t>I_Air_Pres_Low_STS</t>
  </si>
  <si>
    <t>I_Gas_Pres_High_STS</t>
  </si>
  <si>
    <t>I_Gas_Pres_Low_STS</t>
  </si>
  <si>
    <t>I_Run_STS</t>
  </si>
  <si>
    <t>Q_Sys_Alarm_CMD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</si>
  <si>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</si>
  <si>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</si>
  <si>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</si>
  <si>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</si>
  <si>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</si>
  <si>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</si>
  <si>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启动标志</t>
  </si>
  <si>
    <t>开始吹扫标志</t>
  </si>
  <si>
    <t>开始点火标志</t>
  </si>
  <si>
    <t>M_Ignite_Success_FLG</t>
  </si>
  <si>
    <t>点火成功标志</t>
  </si>
  <si>
    <t>M_Ignite_Failed_ALM</t>
  </si>
  <si>
    <t>M_Flame_Loss_ALM</t>
  </si>
  <si>
    <t>M_DCS_Lock_ALM</t>
  </si>
  <si>
    <t>M_Air_Pres_Low_ALM</t>
  </si>
  <si>
    <t>M_Gas_Pres_High_ALM</t>
  </si>
  <si>
    <t>M_Gas_Pres_Low_ALM</t>
  </si>
  <si>
    <t>空气调节阀故障</t>
  </si>
  <si>
    <t>燃气调节阀故障</t>
  </si>
  <si>
    <t>M_Flame_Pre_ALM</t>
  </si>
  <si>
    <t>点火前发现火焰故障</t>
  </si>
  <si>
    <t>M_Purge_Finish_FLG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</si>
  <si>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</si>
  <si>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</si>
  <si>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</si>
  <si>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</si>
  <si>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</si>
  <si>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</si>
  <si>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</si>
  <si>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</si>
  <si>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</si>
  <si>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</si>
  <si>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</si>
  <si>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</si>
  <si>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</si>
  <si>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</si>
  <si>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</si>
  <si>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</si>
  <si>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</si>
  <si>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</si>
  <si>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</si>
  <si>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自动状态RTU</t>
  </si>
  <si>
    <t>启动状态RTU</t>
  </si>
  <si>
    <t>停止状态RTU</t>
  </si>
  <si>
    <t>V_Remote_Run_CMD</t>
  </si>
  <si>
    <t>V_Remote_Stop_CMD</t>
  </si>
  <si>
    <t>V_Remote_Reset_CMD</t>
  </si>
  <si>
    <t>V_Remote_TurnUp_CMD</t>
  </si>
  <si>
    <t>V_Remote_TurnDown_CMD</t>
  </si>
  <si>
    <t>R_Current_Temp_VAL</t>
  </si>
  <si>
    <t>R_Current_Temp_Display</t>
  </si>
  <si>
    <t>温度HMI显示值</t>
  </si>
  <si>
    <t>燃气阀门开度显示%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</si>
  <si>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</si>
  <si>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</si>
  <si>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</si>
  <si>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</si>
  <si>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</si>
  <si>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</si>
  <si>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</si>
  <si>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燃气阀门给定值与反馈值之差，取绝对值</t>
  </si>
  <si>
    <t>空气阀门给定值与反馈值之差，取绝对值</t>
  </si>
  <si>
    <t>R_Gas_DiffAlow_SET</t>
  </si>
  <si>
    <t>R_Air_DiffAlow_SET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</si>
  <si>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</si>
  <si>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</si>
  <si>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</si>
  <si>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</si>
  <si>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</si>
  <si>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</si>
  <si>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R_PID_EachLevel_VAL</t>
  </si>
  <si>
    <t>当量_每档</t>
  </si>
  <si>
    <t>R_PID_Level_VAL</t>
  </si>
  <si>
    <t>PID输出换算成档位</t>
  </si>
  <si>
    <t>当前吹扫时长显示值</t>
  </si>
  <si>
    <t>主火阀(切断阀)开启延时设定值</t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</si>
  <si>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</si>
  <si>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</si>
  <si>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</si>
  <si>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</si>
  <si>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</si>
  <si>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</si>
  <si>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</si>
  <si>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</si>
  <si>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</si>
  <si>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</si>
  <si>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</si>
  <si>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</si>
  <si>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</si>
  <si>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</si>
  <si>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</si>
  <si>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</si>
  <si>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</si>
  <si>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</si>
  <si>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</si>
  <si>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</si>
  <si>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</si>
  <si>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</si>
  <si>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</si>
  <si>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</si>
  <si>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</si>
  <si>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</si>
  <si>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</si>
  <si>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</si>
  <si>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</si>
  <si>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</si>
  <si>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</si>
  <si>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</si>
  <si>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</si>
  <si>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</si>
  <si>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</si>
  <si>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</si>
  <si>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</si>
  <si>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</si>
  <si>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</si>
  <si>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</si>
  <si>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</si>
  <si>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</si>
  <si>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</si>
  <si>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</si>
  <si>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</si>
  <si>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</si>
  <si>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</si>
  <si>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</si>
  <si>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</si>
  <si>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</si>
  <si>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</si>
  <si>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</si>
  <si>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</si>
  <si>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</si>
  <si>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</si>
  <si>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</si>
  <si>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</si>
  <si>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</si>
  <si>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</si>
  <si>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</si>
  <si>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</si>
  <si>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</si>
  <si>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</si>
  <si>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</si>
  <si>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</si>
  <si>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</si>
  <si>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</si>
  <si>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</si>
  <si>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</si>
  <si>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</si>
  <si>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</si>
  <si>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</si>
  <si>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</si>
  <si>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</si>
  <si>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</si>
  <si>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</si>
  <si>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调节阀检测通过标志</t>
  </si>
  <si>
    <t>M_Leak_Exception_FLG</t>
  </si>
  <si>
    <t>检漏程序，第2步检漏异常标志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</si>
  <si>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</si>
  <si>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</si>
  <si>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</si>
  <si>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</si>
  <si>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</si>
  <si>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</si>
  <si>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</si>
  <si>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</si>
  <si>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</si>
  <si>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</si>
  <si>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</si>
  <si>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</si>
  <si>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主程序，打开主火阀（切断阀）</t>
  </si>
  <si>
    <t>M_Leak_ValveSafety_CMD</t>
  </si>
  <si>
    <t>检漏程序，打开安全阀 指令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</si>
  <si>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</si>
  <si>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</si>
  <si>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</si>
  <si>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</si>
  <si>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</si>
  <si>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</si>
  <si>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</si>
  <si>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</si>
  <si>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</si>
  <si>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</si>
  <si>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V_PID_ErrorCode</t>
  </si>
  <si>
    <t>VB800</t>
  </si>
  <si>
    <t>PID 控制错误码</t>
  </si>
  <si>
    <t>V_MBUS_INIT_Error</t>
  </si>
  <si>
    <t>V_MBUS_SLAVE_Error</t>
  </si>
  <si>
    <t>VB802</t>
  </si>
  <si>
    <t>B_Leak_Step_Num</t>
  </si>
  <si>
    <t>VB804</t>
  </si>
  <si>
    <t>检漏步数，第1、2、3、4步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</si>
  <si>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</si>
  <si>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</si>
  <si>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</si>
  <si>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</si>
  <si>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</si>
  <si>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</si>
  <si>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</si>
  <si>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VD32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</si>
  <si>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</si>
  <si>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</si>
  <si>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</si>
  <si>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</si>
  <si>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</si>
  <si>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</si>
  <si>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</si>
  <si>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</si>
  <si>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</si>
  <si>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</si>
  <si>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</si>
  <si>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</si>
  <si>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</si>
  <si>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</si>
  <si>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</si>
  <si>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</si>
  <si>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</si>
  <si>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</si>
  <si>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</si>
  <si>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</si>
  <si>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</si>
  <si>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</si>
  <si>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</si>
  <si>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</si>
  <si>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</si>
  <si>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</si>
  <si>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</si>
  <si>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</si>
  <si>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</si>
  <si>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</si>
  <si>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</si>
  <si>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</si>
  <si>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</si>
  <si>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</si>
  <si>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</si>
  <si>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</si>
  <si>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</si>
  <si>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</si>
  <si>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</si>
  <si>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</si>
  <si>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</si>
  <si>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</si>
  <si>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R_Remote_Temp_VAL</t>
  </si>
  <si>
    <t>R_Remote_Level_VAL</t>
  </si>
  <si>
    <t>W_Purge_Time_VAL</t>
  </si>
  <si>
    <t>W_PID_Output_VAL</t>
  </si>
  <si>
    <t>W_Stage1_Temp_Time_VAL</t>
  </si>
  <si>
    <t>第1阶段温度保持时长显示，分钟</t>
  </si>
  <si>
    <t>W_Stage2_Temp_Time_VAL</t>
  </si>
  <si>
    <t>第2阶段温度保持时长显示，分钟</t>
  </si>
  <si>
    <t>W_Stage3_Temp_Time_VAL</t>
  </si>
  <si>
    <t>第3阶段温度保持时长显示，分钟</t>
  </si>
  <si>
    <t>W_Stage4_Temp_Time_VAL</t>
  </si>
  <si>
    <t>第4阶段温度保持时长显示，分钟</t>
  </si>
  <si>
    <t>W_Stage5_Temp_Time_VAL</t>
  </si>
  <si>
    <t>第5阶段温度保持时长显示，分钟</t>
  </si>
  <si>
    <t>W_Stage6_Temp_Time_VAL</t>
  </si>
  <si>
    <t>第6阶段温度保持时长显示，分钟</t>
  </si>
  <si>
    <t>W_Sys_Time_Hour_VAL</t>
  </si>
  <si>
    <t>VW104</t>
  </si>
  <si>
    <t>HMI显示运行小时</t>
  </si>
  <si>
    <t>W_Sys_Time_Minute_VAL</t>
  </si>
  <si>
    <t>HMI显示运行分钟</t>
  </si>
  <si>
    <t>W_Purge_Time_SET</t>
  </si>
  <si>
    <t>VW528</t>
  </si>
  <si>
    <t>W_ValveCut_Delay_SET</t>
  </si>
  <si>
    <t>W_Stage1_Temp_Time_SET</t>
  </si>
  <si>
    <t>VW532</t>
  </si>
  <si>
    <t>W_Stage2_Temp_Time_SET</t>
  </si>
  <si>
    <t>W_Stage3_Temp_Time_SET</t>
  </si>
  <si>
    <t>VW536</t>
  </si>
  <si>
    <t>W_Stage4_Temp_Time_SET</t>
  </si>
  <si>
    <t>W_Stage5_Temp_Time_SET</t>
  </si>
  <si>
    <t>VW540</t>
  </si>
  <si>
    <t>W_Stage6_Temp_Time_SET</t>
  </si>
  <si>
    <t>W_PreFlame_Time_SET</t>
  </si>
  <si>
    <t>VW544</t>
  </si>
  <si>
    <t>AQW16</t>
  </si>
  <si>
    <t>燃气调节阀 执行输出</t>
  </si>
  <si>
    <t>AQW18</t>
  </si>
  <si>
    <t>空气调节阀 执行输出</t>
  </si>
  <si>
    <t>AIW18</t>
  </si>
  <si>
    <t>燃气调节阀  反馈</t>
  </si>
  <si>
    <t>AIW20</t>
  </si>
  <si>
    <t>空气调节阀  反馈</t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</si>
  <si>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</si>
  <si>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</si>
  <si>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</si>
  <si>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</si>
  <si>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</si>
  <si>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</si>
  <si>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</si>
  <si>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</si>
  <si>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</si>
  <si>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</si>
  <si>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</si>
  <si>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</si>
  <si>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</si>
  <si>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</si>
  <si>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</si>
  <si>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</si>
  <si>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</si>
  <si>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</si>
  <si>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</si>
  <si>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</si>
  <si>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</si>
  <si>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</si>
  <si>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</si>
  <si>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</si>
  <si>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</si>
  <si>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</si>
  <si>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</si>
  <si>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</si>
  <si>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</si>
  <si>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</si>
  <si>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</si>
  <si>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</si>
  <si>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</si>
  <si>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</si>
  <si>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</si>
  <si>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</si>
  <si>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</si>
  <si>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</si>
  <si>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</si>
  <si>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</si>
  <si>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19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</si>
  <si>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</si>
  <si>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</si>
  <si>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</si>
  <si>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</si>
  <si>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</si>
  <si>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</si>
  <si>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</si>
  <si>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</si>
  <si>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</si>
  <si>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</si>
  <si>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</si>
  <si>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</si>
  <si>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</si>
  <si>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</si>
  <si>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</si>
  <si>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</si>
  <si>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19" type="noConversion"/>
  </si>
  <si>
    <t>VB810</t>
  </si>
  <si>
    <t>V0.1</t>
    <phoneticPr fontId="19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</si>
  <si>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</si>
  <si>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</si>
  <si>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</si>
  <si>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</si>
  <si>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</si>
  <si>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</si>
  <si>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</si>
  <si>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</si>
  <si>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</si>
  <si>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</si>
  <si>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</si>
  <si>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</si>
  <si>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</si>
  <si>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</si>
  <si>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</si>
  <si>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</si>
  <si>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</si>
  <si>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</si>
  <si>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19" type="noConversion"/>
  </si>
  <si>
    <t>类型</t>
    <phoneticPr fontId="19" type="noConversion"/>
  </si>
  <si>
    <t>空气低压开关</t>
    <phoneticPr fontId="19" type="noConversion"/>
  </si>
  <si>
    <t>I0.1</t>
    <phoneticPr fontId="19" type="noConversion"/>
  </si>
  <si>
    <t>I_Air_Pres_Low_STS</t>
    <phoneticPr fontId="19" type="noConversion"/>
  </si>
  <si>
    <t>DI</t>
    <phoneticPr fontId="19" type="noConversion"/>
  </si>
  <si>
    <t>启动按钮</t>
    <phoneticPr fontId="19" type="noConversion"/>
  </si>
  <si>
    <t>停止按钮</t>
    <phoneticPr fontId="19" type="noConversion"/>
  </si>
  <si>
    <t>复位按钮</t>
    <phoneticPr fontId="19" type="noConversion"/>
  </si>
  <si>
    <t>本地远程旋钮</t>
    <phoneticPr fontId="19" type="noConversion"/>
  </si>
  <si>
    <t>I0.2</t>
    <phoneticPr fontId="19" type="noConversion"/>
  </si>
  <si>
    <t>I0.3</t>
    <phoneticPr fontId="19" type="noConversion"/>
  </si>
  <si>
    <t>I0.5</t>
    <phoneticPr fontId="19" type="noConversion"/>
  </si>
  <si>
    <t>I0.6</t>
    <phoneticPr fontId="19" type="noConversion"/>
  </si>
  <si>
    <t>I0.7</t>
    <phoneticPr fontId="19" type="noConversion"/>
  </si>
  <si>
    <t>I1.0</t>
    <phoneticPr fontId="19" type="noConversion"/>
  </si>
  <si>
    <t>I1.1</t>
    <phoneticPr fontId="19" type="noConversion"/>
  </si>
  <si>
    <t>V0.5</t>
    <phoneticPr fontId="19" type="noConversion"/>
  </si>
  <si>
    <t>备注</t>
    <phoneticPr fontId="19" type="noConversion"/>
  </si>
  <si>
    <t>有信号表示探测到火焰</t>
    <phoneticPr fontId="19" type="noConversion"/>
  </si>
  <si>
    <t>有信号表示故障</t>
    <phoneticPr fontId="19" type="noConversion"/>
  </si>
  <si>
    <t>有输入启动</t>
    <phoneticPr fontId="19" type="noConversion"/>
  </si>
  <si>
    <t>有输入停止</t>
    <phoneticPr fontId="19" type="noConversion"/>
  </si>
  <si>
    <t>有输入复位</t>
    <phoneticPr fontId="19" type="noConversion"/>
  </si>
  <si>
    <t>点火变压器</t>
  </si>
  <si>
    <t>安全阀V1</t>
  </si>
  <si>
    <t>DO</t>
    <phoneticPr fontId="19" type="noConversion"/>
  </si>
  <si>
    <t>V2.0</t>
    <phoneticPr fontId="19" type="noConversion"/>
  </si>
  <si>
    <t>现场设备</t>
    <phoneticPr fontId="19" type="noConversion"/>
  </si>
  <si>
    <t>点火阀</t>
    <phoneticPr fontId="19" type="noConversion"/>
  </si>
  <si>
    <t>主火阀V2</t>
    <phoneticPr fontId="19" type="noConversion"/>
  </si>
  <si>
    <t>有输入本地
无输入远程</t>
    <phoneticPr fontId="19" type="noConversion"/>
  </si>
  <si>
    <t>燃气高压开关</t>
    <phoneticPr fontId="19" type="noConversion"/>
  </si>
  <si>
    <t>燃气低压开关</t>
    <phoneticPr fontId="19" type="noConversion"/>
  </si>
  <si>
    <t>火焰探测器</t>
    <phoneticPr fontId="19" type="noConversion"/>
  </si>
  <si>
    <t>AIW</t>
    <phoneticPr fontId="19" type="noConversion"/>
  </si>
  <si>
    <t>AQW</t>
    <phoneticPr fontId="19" type="noConversion"/>
  </si>
  <si>
    <t xml:space="preserve"> 4-20ma 模拟量</t>
    <phoneticPr fontId="19" type="noConversion"/>
  </si>
  <si>
    <t>燃气调节阀 反馈</t>
    <phoneticPr fontId="19" type="noConversion"/>
  </si>
  <si>
    <t>空气调节阀 反馈</t>
    <phoneticPr fontId="19" type="noConversion"/>
  </si>
  <si>
    <t>燃气调节阀 执行</t>
    <phoneticPr fontId="19" type="noConversion"/>
  </si>
  <si>
    <t>空气调节阀 执行</t>
    <phoneticPr fontId="19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</si>
  <si>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</si>
  <si>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</si>
  <si>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</si>
  <si>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</si>
  <si>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</si>
  <si>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</si>
  <si>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</si>
  <si>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</si>
  <si>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</si>
  <si>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</si>
  <si>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</si>
  <si>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</si>
  <si>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</si>
  <si>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</si>
  <si>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</si>
  <si>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</si>
  <si>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</si>
  <si>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</si>
  <si>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</si>
  <si>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</si>
  <si>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</si>
  <si>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</si>
  <si>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</si>
  <si>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</si>
  <si>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</si>
  <si>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</si>
  <si>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</si>
  <si>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</si>
  <si>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</si>
  <si>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</si>
  <si>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</si>
  <si>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</si>
  <si>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</si>
  <si>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</si>
  <si>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</si>
  <si>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  <phoneticPr fontId="4" type="noConversion"/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</si>
  <si>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</si>
  <si>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</si>
  <si>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</si>
  <si>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</si>
  <si>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</si>
  <si>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</si>
  <si>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</si>
  <si>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</si>
  <si>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</si>
  <si>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</si>
  <si>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</si>
  <si>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</si>
  <si>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</si>
  <si>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</si>
  <si>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</si>
  <si>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</si>
  <si>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</si>
  <si>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</si>
  <si>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</si>
  <si>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</si>
  <si>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操作</t>
    <phoneticPr fontId="4" type="noConversion"/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</si>
  <si>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</si>
  <si>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</si>
  <si>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</si>
  <si>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</si>
  <si>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</si>
  <si>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</si>
  <si>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</si>
  <si>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</si>
  <si>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</si>
  <si>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</si>
  <si>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</si>
  <si>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</si>
  <si>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</si>
  <si>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</si>
  <si>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</si>
  <si>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</si>
  <si>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</si>
  <si>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</si>
  <si>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</si>
  <si>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</si>
  <si>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</si>
  <si>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</si>
  <si>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</si>
  <si>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</si>
  <si>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</si>
  <si>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</si>
  <si>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</si>
  <si>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</si>
  <si>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</si>
  <si>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</si>
  <si>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</si>
  <si>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</si>
  <si>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</si>
  <si>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</si>
  <si>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</si>
  <si>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</si>
  <si>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</si>
  <si>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</si>
  <si>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</si>
  <si>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</si>
  <si>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</si>
  <si>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</si>
  <si>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</si>
  <si>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</si>
  <si>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</si>
  <si>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</si>
  <si>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</si>
  <si>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</si>
  <si>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</si>
  <si>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</si>
  <si>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</si>
  <si>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</si>
  <si>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</si>
  <si>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</si>
  <si>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</si>
  <si>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</si>
  <si>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</si>
  <si>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</si>
  <si>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</si>
  <si>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</si>
  <si>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</si>
  <si>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</si>
  <si>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</si>
  <si>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</si>
  <si>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</si>
  <si>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</si>
  <si>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</si>
  <si>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</si>
  <si>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</si>
  <si>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</si>
  <si>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</si>
  <si>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</si>
  <si>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</si>
  <si>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地址</t>
    <phoneticPr fontId="19" type="noConversion"/>
  </si>
  <si>
    <t>映射</t>
    <phoneticPr fontId="19" type="noConversion"/>
  </si>
  <si>
    <t>报警蜂鸣器</t>
    <phoneticPr fontId="19" type="noConversion"/>
  </si>
  <si>
    <t>VW814</t>
  </si>
  <si>
    <t>VW816</t>
  </si>
  <si>
    <t>系统状态时间</t>
  </si>
  <si>
    <t>预期结果</t>
  </si>
  <si>
    <t>实测结果</t>
  </si>
  <si>
    <t>☐ 通过</t>
  </si>
  <si>
    <t>异常</t>
  </si>
  <si>
    <t>吹扫</t>
  </si>
  <si>
    <t>点火准备</t>
  </si>
  <si>
    <t>高压放电，持续【打火时长】秒时间，火焰稳定超过2秒</t>
  </si>
  <si>
    <t>点火成功，转入小火运行</t>
  </si>
  <si>
    <t>高压放电打火结束，没建立火焰或火焰无法稳定【火焰建立时长】1秒以上，点火失败</t>
  </si>
  <si>
    <t>报警：点火失败</t>
  </si>
  <si>
    <t>火焰丢失</t>
  </si>
  <si>
    <t>正常运行中，火焰丢失超过2【火焰丢失延时】秒，报警</t>
  </si>
  <si>
    <t>报警：火焰丢失</t>
  </si>
  <si>
    <t>主火运行</t>
  </si>
  <si>
    <t>开启主火阀V2、安全阀V1</t>
  </si>
  <si>
    <t>阀正常开启</t>
  </si>
  <si>
    <t>温控启停</t>
  </si>
  <si>
    <t>调节当前温度为超过停机温度</t>
  </si>
  <si>
    <t>超过设定温度，关闭主火阀、安全阀</t>
  </si>
  <si>
    <t>手动模式</t>
  </si>
  <si>
    <t>手动模式按屏幕上增档、减档</t>
  </si>
  <si>
    <t>档位随增减档而变动</t>
  </si>
  <si>
    <t>自动模式</t>
  </si>
  <si>
    <t>自动模式升降档由PID控制，改变当前温度，观察档位变化情况</t>
  </si>
  <si>
    <t>随温度升高而降档</t>
  </si>
  <si>
    <t>阶段升温</t>
  </si>
  <si>
    <t>观察目标温度是否按照设定的温度变化</t>
  </si>
  <si>
    <t>会变化</t>
  </si>
  <si>
    <t>485通讯</t>
  </si>
  <si>
    <t>能看到</t>
  </si>
  <si>
    <t>本地_远程</t>
  </si>
  <si>
    <t>本地_远程互斥</t>
  </si>
  <si>
    <t>观察远程是否能正常看到设备状态
故障状态、自动状态、启动状态、停止状态、远程状态
空气调节阀开度、燃气调节阀开度、当前温度、当前档位、PID温度（阶段6）</t>
    <phoneticPr fontId="30" type="noConversion"/>
  </si>
  <si>
    <t>切换本地远程旋钮
操作 启动、停止、复位</t>
    <phoneticPr fontId="30" type="noConversion"/>
  </si>
  <si>
    <t>正常</t>
  </si>
  <si>
    <t>正常</t>
    <phoneticPr fontId="30" type="noConversion"/>
  </si>
  <si>
    <t>项目</t>
    <phoneticPr fontId="30" type="noConversion"/>
  </si>
  <si>
    <t>C_Leak_CountDown_CT</t>
  </si>
  <si>
    <t>C103</t>
  </si>
  <si>
    <t>检漏倒计时 计数器</t>
  </si>
  <si>
    <t>C_Valve_Detect_CT</t>
  </si>
  <si>
    <t>C104</t>
  </si>
  <si>
    <t>调节阀检测倒计时 计数器</t>
  </si>
  <si>
    <t>C_Purge_CountDown_CT</t>
  </si>
  <si>
    <t>C105</t>
  </si>
  <si>
    <t>吹扫倒计时 计数器</t>
  </si>
  <si>
    <t>C_Ignite_CountDown_CT</t>
  </si>
  <si>
    <t>C106</t>
  </si>
  <si>
    <t>点火 倒计时 计数器</t>
  </si>
  <si>
    <t>M_Over_Temp_FLG</t>
  </si>
  <si>
    <t>当前温度超过停机温度 标志，此时关大火</t>
  </si>
  <si>
    <t>M_Temp_Error_FLG</t>
  </si>
  <si>
    <t>温度错误，DCS传送温度数据有误，请</t>
  </si>
  <si>
    <t>M_Sys_Detect_PASS_FLG</t>
  </si>
  <si>
    <t>系统预检通过标志</t>
  </si>
  <si>
    <t>M_Leak_Tips_FLG</t>
  </si>
  <si>
    <t>检漏提示标志</t>
  </si>
  <si>
    <t>M_Valve_Tips_FLG</t>
  </si>
  <si>
    <t>调节阀检测过程中，禁止启动，点启动按钮，弹窗提醒</t>
  </si>
  <si>
    <t>M_Temp_Error_Tips_FLG</t>
  </si>
  <si>
    <t>温度错误，提示用户</t>
  </si>
  <si>
    <t>M_ValveCut_EXE</t>
  </si>
  <si>
    <t>M_ValveSafety_EXE</t>
  </si>
  <si>
    <t>M_Open_Valve_Big_CMD</t>
  </si>
  <si>
    <t>手动开主火 虚拟按钮</t>
  </si>
  <si>
    <t>点火失败报警</t>
  </si>
  <si>
    <t>点火延时定时器，从调节阀走到位到高压包放电之间的时间间隔</t>
  </si>
  <si>
    <t>T_Leak_Total_Time</t>
  </si>
  <si>
    <t>检漏总时长定时器</t>
  </si>
  <si>
    <t>T_Over_Temp_Delay_Time</t>
  </si>
  <si>
    <t>超温 超过停机温度延时定时器</t>
  </si>
  <si>
    <t>T_Under_Temp_Delay_Time</t>
  </si>
  <si>
    <t>超温 低于开机温度延时定时器</t>
  </si>
  <si>
    <t>B_Ignate_Backup_Status</t>
  </si>
  <si>
    <t>VB812</t>
  </si>
  <si>
    <t>0正常；1点火备用，取消前火检</t>
  </si>
  <si>
    <t>R_Over_Temp_Open_VAL</t>
  </si>
  <si>
    <t>VD100</t>
  </si>
  <si>
    <t>温控开机温度 = 停机温度 - 超温回差值</t>
  </si>
  <si>
    <t>DI_ValveLift_Air_Per</t>
  </si>
  <si>
    <t>VD146</t>
  </si>
  <si>
    <t>空气调节阀 开度 整数值 %</t>
  </si>
  <si>
    <t>DI_ValveLift_Gas_Per</t>
  </si>
  <si>
    <t>VD150</t>
  </si>
  <si>
    <t>燃气调节阀 开度 整数值 %</t>
  </si>
  <si>
    <t>R_Over_Temp_Diff_SET</t>
  </si>
  <si>
    <t>VD586</t>
  </si>
  <si>
    <t>超温回差，当 温度低于停机温度减去该值，开主火</t>
  </si>
  <si>
    <t>VD1648</t>
  </si>
  <si>
    <t>远程 温度显示</t>
  </si>
  <si>
    <t>远程 当前档位RTU</t>
  </si>
  <si>
    <t>远程 目标温度RTU</t>
  </si>
  <si>
    <t>W_Valve_Detect_CD_VAL</t>
  </si>
  <si>
    <t>VW138</t>
  </si>
  <si>
    <t>调节阀检测倒计时 计算值</t>
  </si>
  <si>
    <t>W_Leak_CD_VAL</t>
  </si>
  <si>
    <t>VW140</t>
  </si>
  <si>
    <t>检漏倒计时 计算值</t>
  </si>
  <si>
    <t>W_Purge_CD_VAL</t>
  </si>
  <si>
    <t>VW142</t>
  </si>
  <si>
    <t>吹扫倒计时 计算值</t>
  </si>
  <si>
    <t>W_Ignite_CD_VAL</t>
  </si>
  <si>
    <t>VW144</t>
  </si>
  <si>
    <t>高压打火 倒计时 计算值</t>
  </si>
  <si>
    <t>W_ValveLift_Air_VAL_Per</t>
  </si>
  <si>
    <t>VW154</t>
  </si>
  <si>
    <t>空气调节阀开度 整数 %</t>
  </si>
  <si>
    <t>W_ValveLift_Gas_VAL_Per</t>
  </si>
  <si>
    <t>VW156</t>
  </si>
  <si>
    <t>燃气调节阀开度 整数 %</t>
  </si>
  <si>
    <t>W_Sys_Status</t>
  </si>
  <si>
    <t>W_Sys_Status_Time</t>
  </si>
  <si>
    <t>W_Remote_Temp_VAL</t>
  </si>
  <si>
    <t>W_Remote_Air_P_VAL</t>
  </si>
  <si>
    <t>当前管道空气压力，风压</t>
  </si>
  <si>
    <t>1.检漏、调节阀检测中……2.检测完成3.设备停止4.正在启动……5.正在吹扫……6.吹扫完成7.点火准备中……8.正在点火……9.点火成功10.【小火运行】11.【主火运行】12.故障报警13.温控停机</t>
    <phoneticPr fontId="19" type="noConversion"/>
  </si>
  <si>
    <t>地址</t>
    <phoneticPr fontId="30" type="noConversion"/>
  </si>
  <si>
    <t>差值</t>
    <phoneticPr fontId="30" type="noConversion"/>
  </si>
  <si>
    <t>存储区</t>
    <phoneticPr fontId="30" type="noConversion"/>
  </si>
  <si>
    <t>测试内容</t>
    <phoneticPr fontId="30" type="noConversion"/>
  </si>
  <si>
    <t>数据类型</t>
    <phoneticPr fontId="4" type="noConversion"/>
  </si>
  <si>
    <t>数据类型</t>
    <phoneticPr fontId="10" type="noConversion"/>
  </si>
  <si>
    <t>字节 Byte 8bit</t>
    <phoneticPr fontId="10" type="noConversion"/>
  </si>
  <si>
    <t>布尔型 Bool 1bit</t>
    <phoneticPr fontId="10" type="noConversion"/>
  </si>
  <si>
    <t>字 Word 16bit</t>
  </si>
  <si>
    <t>字 Word 16bit</t>
    <phoneticPr fontId="10" type="noConversion"/>
  </si>
  <si>
    <t>实数 Real 32bit</t>
  </si>
  <si>
    <t>实数 Real 32bit</t>
    <phoneticPr fontId="10" type="noConversion"/>
  </si>
  <si>
    <t>双字 Dword 32bit</t>
    <phoneticPr fontId="10" type="noConversion"/>
  </si>
  <si>
    <t>布尔型 Bool 1bit</t>
    <phoneticPr fontId="4" type="noConversion"/>
  </si>
  <si>
    <t>测试类别</t>
    <phoneticPr fontId="30" type="noConversion"/>
  </si>
  <si>
    <t>测试类别</t>
    <phoneticPr fontId="10" type="noConversion"/>
  </si>
  <si>
    <t>正常</t>
    <phoneticPr fontId="10" type="noConversion"/>
  </si>
  <si>
    <t>异常</t>
    <phoneticPr fontId="10" type="noConversion"/>
  </si>
  <si>
    <t>序号</t>
    <phoneticPr fontId="30" type="noConversion"/>
  </si>
  <si>
    <r>
      <rPr>
        <sz val="12"/>
        <rFont val="Segoe UI Symbol"/>
        <family val="2"/>
      </rPr>
      <t>☐</t>
    </r>
    <r>
      <rPr>
        <sz val="12"/>
        <rFont val="宋体"/>
        <family val="3"/>
        <charset val="134"/>
      </rPr>
      <t xml:space="preserve"> 通过</t>
    </r>
    <phoneticPr fontId="30" type="noConversion"/>
  </si>
  <si>
    <r>
      <rPr>
        <sz val="12"/>
        <rFont val="Segoe UI Symbol"/>
        <family val="3"/>
      </rPr>
      <t>☐</t>
    </r>
    <r>
      <rPr>
        <sz val="12"/>
        <rFont val="Calibri"/>
        <family val="3"/>
      </rPr>
      <t xml:space="preserve"> </t>
    </r>
    <r>
      <rPr>
        <sz val="12"/>
        <rFont val="宋体"/>
        <family val="3"/>
        <charset val="134"/>
      </rPr>
      <t>通过</t>
    </r>
    <phoneticPr fontId="30" type="noConversion"/>
  </si>
  <si>
    <t>V1灯亮，接通燃气低压开关
V2灯亮，关闭燃气低压开关
检漏倒计时正常显示
按开机键，HMI会提示此时不能开机</t>
    <phoneticPr fontId="30" type="noConversion"/>
  </si>
  <si>
    <t>检漏</t>
    <phoneticPr fontId="30" type="noConversion"/>
  </si>
  <si>
    <t>V1灯亮，【不】接通燃气低压开关
V2灯亮，【不】关闭燃气低压开关</t>
    <phoneticPr fontId="30" type="noConversion"/>
  </si>
  <si>
    <t>调节阀检测</t>
    <phoneticPr fontId="30" type="noConversion"/>
  </si>
  <si>
    <t>检漏异常报警，并且无法开机，
指示灯亮红灯且闪烁
按开机键无法开机，必须再次检漏，通过后才能开机。</t>
    <phoneticPr fontId="30" type="noConversion"/>
  </si>
  <si>
    <t>显示正常、检测中开机提醒正常
检测完成后检漏灯亮绿灯，检漏通过</t>
    <phoneticPr fontId="30" type="noConversion"/>
  </si>
  <si>
    <t>第1步：调节阀在设定时间内（60s）关闭至0位，对比执行与反馈差值均在设定5%以内，进入第2步检测。
第2步：调节阀在规定时间60s内打开至设定位置如70%，再次对比执行与反馈差值，也均在5%之内。检测结束</t>
    <phoneticPr fontId="30" type="noConversion"/>
  </si>
  <si>
    <t>调节阀检测倒计时 显示正常
调节阀检测指示灯 绿灯常亮</t>
    <phoneticPr fontId="30" type="noConversion"/>
  </si>
  <si>
    <t xml:space="preserve">改变调节阀的反馈值，共有以下情况：
1、第1步 2个错误，结束检测
2、第1步 2个正常，第2步 2个错误
3、第1步 2个正常，第2步 1个错误
4、第1步 1个正常，第2步 2个错误
5、第1步 1个正常，第2步 1个错误
6、第1步 1个正常，第2步 2个正常
</t>
    <phoneticPr fontId="30" type="noConversion"/>
  </si>
  <si>
    <t>1、2个调节阀检测指示灯 橙色闪烁
2、2个调节阀检测指示灯 橙色闪烁
3、1错误的橙色闪烁、1正常的绿灯常亮
4、2个调节阀检测指示灯 橙色闪烁
5、1错误的橙色闪烁、1正常的绿灯常亮
6、1错误的橙色闪烁、1正常的绿灯常亮</t>
    <phoneticPr fontId="30" type="noConversion"/>
  </si>
  <si>
    <t>正确显示吹扫倒计时，正常吹扫</t>
    <phoneticPr fontId="30" type="noConversion"/>
  </si>
  <si>
    <t>第1步：空气调节阀走至吹扫位置，限时60秒，到位或到超60秒 进入第2步 吹扫
第2步：开始吹扫，显示吹扫倒计时</t>
    <phoneticPr fontId="30" type="noConversion"/>
  </si>
  <si>
    <t>第1步：调节阀走至点火位置，限时60秒，到位或超60秒 进入第2步 点火
第2步：开始点火</t>
    <phoneticPr fontId="30" type="noConversion"/>
  </si>
  <si>
    <t>正常进入点火程序</t>
    <phoneticPr fontId="30" type="noConversion"/>
  </si>
  <si>
    <t>前火检</t>
    <phoneticPr fontId="30" type="noConversion"/>
  </si>
  <si>
    <t>停机——点火准备 之间，检测到火焰超过设定时长2秒，报警停机</t>
    <phoneticPr fontId="30" type="noConversion"/>
  </si>
  <si>
    <t>报警停机，点火前发现火焰故障</t>
    <phoneticPr fontId="30" type="noConversion"/>
  </si>
  <si>
    <t>点火备用</t>
    <phoneticPr fontId="30" type="noConversion"/>
  </si>
  <si>
    <t>如果确定炉膛内有火焰导致的报警，可在系统内，点击点火备用来允许本次点火。停机后置位点火备用。</t>
    <phoneticPr fontId="30" type="noConversion"/>
  </si>
  <si>
    <t>点火备用后，有火不再报警，可点火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</si>
</sst>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6">
    <font>
      <sz val="12"/>
      <name val="宋体"/>
      <charset val="134"/>
    </font>
    <font>
      <sz val="12"/>
      <color indexed="10"/>
      <name val="宋体"/>
      <family val="3"/>
      <charset val="134"/>
    </font>
    <font>
      <sz val="11"/>
      <color indexed="8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12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Microsoft YaHei"/>
      <family val="2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6"/>
      <color theme="0"/>
      <name val="宋体"/>
      <family val="3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family val="3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</font>
    <font>
      <sz val="12"/>
      <name val="Segoe UI Symbol"/>
      <family val="2"/>
    </font>
    <font>
      <sz val="12"/>
      <name val="宋体"/>
      <family val="2"/>
      <charset val="134"/>
    </font>
    <font>
      <sz val="12"/>
      <name val="Segoe UI Symbol"/>
      <family val="3"/>
    </font>
    <font>
      <sz val="12"/>
      <name val="Calibri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9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4" fillId="0" borderId="0" xfId="0" applyFont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5" fillId="0" borderId="1" xfId="0" applyFont="1" applyBorder="1" applyAlignment="1">
      <alignment horizontal="left" vertical="center" wrapText="1"/>
    </xf>
    <xf numFmtId="0" fontId="25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left" vertical="center"/>
    </xf>
    <xf numFmtId="0" fontId="18" fillId="0" borderId="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 wrapText="1"/>
    </xf>
    <xf numFmtId="176" fontId="22" fillId="0" borderId="1" xfId="0" applyNumberFormat="1" applyFont="1" applyBorder="1" applyAlignment="1">
      <alignment horizontal="right" vertic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right" vertical="center"/>
    </xf>
    <xf numFmtId="177" fontId="22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2" fillId="0" borderId="1" xfId="0" applyNumberFormat="1" applyFont="1" applyBorder="1" applyAlignment="1">
      <alignment horizontal="right" vertical="center"/>
    </xf>
    <xf numFmtId="0" fontId="22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29" fillId="0" borderId="2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1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5" fillId="0" borderId="1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2" xfId="0" applyFont="1" applyFill="1" applyBorder="1" applyAlignment="1">
      <alignment horizontal="left" vertical="center"/>
    </xf>
    <xf numFmtId="0" fontId="25" fillId="0" borderId="2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right" vertical="center"/>
    </xf>
    <xf numFmtId="0" fontId="3" fillId="0" borderId="0" xfId="0" applyFont="1">
      <alignment vertical="center"/>
    </xf>
    <xf numFmtId="178" fontId="3" fillId="0" borderId="1" xfId="0" applyNumberFormat="1" applyFont="1" applyBorder="1" applyAlignment="1">
      <alignment horizontal="right" vertical="center"/>
    </xf>
    <xf numFmtId="177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</cellXfs>
  <cellStyles count="2">
    <cellStyle name="常规" xfId="0" builtinId="0"/>
    <cellStyle name="常规 4 2" xfId="1" xr:uid="{C97CC49E-8548-40A7-B373-8E3F8F01BD97}"/>
  </cellStyles>
  <dxfs count="66"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65" dataDxfId="63" headerRowBorderDxfId="64" tableBorderDxfId="62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61"/>
    <tableColumn id="2" xr3:uid="{00000000-0010-0000-0300-000002000000}" name="排序" dataDxfId="60"/>
    <tableColumn id="3" xr3:uid="{00000000-0010-0000-0300-000003000000}" name="符号" dataDxfId="59"/>
    <tableColumn id="4" xr3:uid="{00000000-0010-0000-0300-000004000000}" name="地址" dataDxfId="58"/>
    <tableColumn id="5" xr3:uid="{00000000-0010-0000-0300-000005000000}" name="注释" dataDxfId="57"/>
    <tableColumn id="6" xr3:uid="{00000000-0010-0000-0300-000006000000}" name="停电保持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3" totalsRowShown="0" headerRowDxfId="55" dataDxfId="53" headerRowBorderDxfId="54" tableBorderDxfId="52">
  <autoFilter ref="A1:F23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51"/>
    <tableColumn id="1" xr3:uid="{00000000-0010-0000-0100-000001000000}" name="名称" dataDxfId="50"/>
    <tableColumn id="2" xr3:uid="{00000000-0010-0000-0100-000002000000}" name="代码" dataDxfId="49"/>
    <tableColumn id="3" xr3:uid="{00000000-0010-0000-0100-000003000000}" name="存储区域" dataDxfId="48"/>
    <tableColumn id="4" xr3:uid="{00000000-0010-0000-0100-000004000000}" name="示例" dataDxfId="47"/>
    <tableColumn id="6" xr3:uid="{00000000-0010-0000-0100-000006000000}" name="说明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57" totalsRowShown="0" headerRowDxfId="45" dataDxfId="43" headerRowBorderDxfId="44" tableBorderDxfId="42">
  <autoFilter ref="A1:G257" xr:uid="{B3E6F695-5A5D-43F2-A4A9-C2D31569F3E9}"/>
  <sortState xmlns:xlrd2="http://schemas.microsoft.com/office/spreadsheetml/2017/richdata2" ref="A2:G257">
    <sortCondition ref="A1:A257"/>
  </sortState>
  <tableColumns count="7">
    <tableColumn id="1" xr3:uid="{00000000-0010-0000-0F00-000001000000}" name="存储区" dataDxfId="41"/>
    <tableColumn id="2" xr3:uid="{00000000-0010-0000-0F00-000002000000}" name="排序" dataDxfId="40"/>
    <tableColumn id="8" xr3:uid="{00000000-0010-0000-0F00-000008000000}" name="间隔校验" dataDxfId="39"/>
    <tableColumn id="7" xr3:uid="{00000000-0010-0000-0F00-000007000000}" name="符号长度" dataDxfId="38"/>
    <tableColumn id="3" xr3:uid="{00000000-0010-0000-0F00-000003000000}" name="符号" dataDxfId="37"/>
    <tableColumn id="4" xr3:uid="{00000000-0010-0000-0F00-000004000000}" name="地址" dataDxfId="36"/>
    <tableColumn id="5" xr3:uid="{00000000-0010-0000-0F00-000005000000}" name="注释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DC73BD-6F51-4BCF-84E1-56C5A6AFF38F}" name="表3" displayName="表3" ref="A1:C40" totalsRowShown="0" headerRowDxfId="34" dataDxfId="33">
  <autoFilter ref="A1:C40" xr:uid="{B6DC73BD-6F51-4BCF-84E1-56C5A6AFF38F}"/>
  <sortState xmlns:xlrd2="http://schemas.microsoft.com/office/spreadsheetml/2017/richdata2" ref="A2:C40">
    <sortCondition ref="B1:B40"/>
  </sortState>
  <tableColumns count="3">
    <tableColumn id="1" xr3:uid="{C9EC5542-3176-4CF9-AACC-E9B37EB87292}" name="存储区" dataDxfId="32"/>
    <tableColumn id="2" xr3:uid="{B8E7CB01-86AB-4B99-82DC-6E4AF1B67DCA}" name="地址" dataDxfId="31"/>
    <tableColumn id="3" xr3:uid="{17BBCF5F-DF23-4029-9CA9-3FFC00CBE4FD}" name="差值" dataDxfId="30">
      <calculatedColumnFormula>B2-N(B1)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29" dataDxfId="27" headerRowBorderDxfId="28" tableBorderDxfId="26" totalsRowBorderDxfId="25">
  <autoFilter ref="A1:F21" xr:uid="{E517E8B6-ADC0-4F95-930E-5AF82CCFF0B4}"/>
  <tableColumns count="6">
    <tableColumn id="1" xr3:uid="{00000000-0010-0000-1100-000001000000}" name="现场设备" dataDxfId="24"/>
    <tableColumn id="2" xr3:uid="{00000000-0010-0000-1100-000002000000}" name="地址" dataDxfId="23"/>
    <tableColumn id="3" xr3:uid="{00000000-0010-0000-1100-000003000000}" name="映射" dataDxfId="22"/>
    <tableColumn id="4" xr3:uid="{00000000-0010-0000-1100-000004000000}" name="符号" dataDxfId="21"/>
    <tableColumn id="5" xr3:uid="{00000000-0010-0000-1100-000005000000}" name="类型" dataDxfId="20"/>
    <tableColumn id="6" xr3:uid="{00000000-0010-0000-1100-000006000000}" name="备注" dataDxfId="1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H17" totalsRowShown="0" headerRowDxfId="18" dataDxfId="16" headerRowBorderDxfId="17">
  <autoFilter ref="B1:H17" xr:uid="{94000AEE-EA2C-4D0D-8C4C-2ABB18A8C2A9}"/>
  <tableColumns count="7">
    <tableColumn id="2" xr3:uid="{00000000-0010-0000-0700-000002000000}" name="从站 HoldStar=500" dataDxfId="15"/>
    <tableColumn id="9" xr3:uid="{00000000-0010-0000-0700-000009000000}" name="符号" dataDxfId="14"/>
    <tableColumn id="3" xr3:uid="{00000000-0010-0000-0700-000003000000}" name="从站 HoldStar=1500" dataDxfId="13"/>
    <tableColumn id="8" xr3:uid="{00000000-0010-0000-0700-000008000000}" name="注释" dataDxfId="12"/>
    <tableColumn id="4" xr3:uid="{00000000-0010-0000-0700-000004000000}" name="Modbus主站地址" dataDxfId="11"/>
    <tableColumn id="1" xr3:uid="{BFEA06D1-5376-4D08-897B-7DC31E55C531}" name="数据类型" dataDxfId="10"/>
    <tableColumn id="5" xr3:uid="{00000000-0010-0000-0700-000005000000}" name="备注" dataDxf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DDED1F-1C4B-4D84-8FD0-826AE3C701E6}" name="表2" displayName="表2" ref="A1:F19" totalsRowShown="0" headerRowDxfId="8" dataDxfId="6" headerRowBorderDxfId="7">
  <autoFilter ref="A1:F19" xr:uid="{28DDED1F-1C4B-4D84-8FD0-826AE3C701E6}"/>
  <tableColumns count="6">
    <tableColumn id="6" xr3:uid="{3CBECB6D-4D10-48D8-8796-E40255F9A9C5}" name="序号" dataDxfId="5">
      <calculatedColumnFormula>ROW()-1</calculatedColumnFormula>
    </tableColumn>
    <tableColumn id="1" xr3:uid="{092C8F4C-750F-4A54-9775-0E878E7F692D}" name="测试类别" dataDxfId="4"/>
    <tableColumn id="2" xr3:uid="{55E7343C-005A-47DD-BF51-A98FEB8687FA}" name="项目" dataDxfId="3"/>
    <tableColumn id="3" xr3:uid="{E219FFED-DB05-4801-BA8C-E5182B5E135C}" name="测试内容" dataDxfId="2"/>
    <tableColumn id="4" xr3:uid="{37775F0D-5709-4D26-8B0D-3C61F165FF43}" name="预期结果" dataDxfId="1"/>
    <tableColumn id="5" xr3:uid="{1DD79E4F-C3FB-4EA3-8CB8-5707D129384D}" name="实测结果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I13"/>
  <sheetViews>
    <sheetView workbookViewId="0">
      <selection activeCell="I4" sqref="I4"/>
    </sheetView>
  </sheetViews>
  <sheetFormatPr defaultRowHeight="14.25"/>
  <cols>
    <col min="1" max="2" width="12.75" customWidth="1"/>
    <col min="7" max="7" width="17.25" customWidth="1"/>
    <col min="9" max="9" width="11.5" customWidth="1"/>
  </cols>
  <sheetData>
    <row r="1" spans="1:9">
      <c r="A1" s="3" t="s">
        <v>526</v>
      </c>
      <c r="B1" s="3"/>
      <c r="C1" s="18" t="s">
        <v>698</v>
      </c>
      <c r="D1" s="18"/>
      <c r="E1" s="21" t="s">
        <v>840</v>
      </c>
      <c r="F1" s="21"/>
      <c r="G1" s="88" t="s">
        <v>1596</v>
      </c>
      <c r="I1" s="88" t="s">
        <v>1606</v>
      </c>
    </row>
    <row r="2" spans="1:9">
      <c r="A2" s="15" t="s">
        <v>533</v>
      </c>
      <c r="B2" s="15"/>
      <c r="C2" s="18" t="s">
        <v>700</v>
      </c>
      <c r="D2" s="18"/>
      <c r="E2" s="21" t="s">
        <v>841</v>
      </c>
      <c r="F2" s="21"/>
      <c r="G2" s="88" t="s">
        <v>1598</v>
      </c>
      <c r="I2" s="88" t="s">
        <v>1607</v>
      </c>
    </row>
    <row r="3" spans="1:9">
      <c r="A3" s="15" t="s">
        <v>541</v>
      </c>
      <c r="B3" s="15"/>
      <c r="C3" s="18" t="s">
        <v>702</v>
      </c>
      <c r="D3" s="18"/>
      <c r="E3" s="21" t="s">
        <v>842</v>
      </c>
      <c r="F3" s="21"/>
      <c r="G3" s="88" t="s">
        <v>1597</v>
      </c>
      <c r="I3" s="88" t="s">
        <v>1608</v>
      </c>
    </row>
    <row r="4" spans="1:9">
      <c r="A4" s="15" t="s">
        <v>540</v>
      </c>
      <c r="B4" s="15"/>
      <c r="E4" s="21" t="s">
        <v>849</v>
      </c>
      <c r="F4" s="21"/>
      <c r="G4" s="88" t="s">
        <v>1600</v>
      </c>
    </row>
    <row r="5" spans="1:9">
      <c r="A5" s="15" t="s">
        <v>539</v>
      </c>
      <c r="B5" s="15"/>
      <c r="E5" s="21" t="s">
        <v>864</v>
      </c>
      <c r="F5" s="21"/>
      <c r="G5" s="88" t="s">
        <v>1603</v>
      </c>
    </row>
    <row r="6" spans="1:9">
      <c r="A6" s="3" t="s">
        <v>537</v>
      </c>
      <c r="B6" s="3"/>
      <c r="E6" s="21" t="s">
        <v>865</v>
      </c>
      <c r="F6" s="21"/>
      <c r="G6" s="88" t="s">
        <v>1602</v>
      </c>
    </row>
    <row r="7" spans="1:9">
      <c r="A7" s="3" t="s">
        <v>538</v>
      </c>
      <c r="B7" s="3"/>
    </row>
    <row r="8" spans="1:9">
      <c r="A8" s="3" t="s">
        <v>527</v>
      </c>
      <c r="B8" s="3"/>
    </row>
    <row r="9" spans="1:9">
      <c r="A9" s="3" t="s">
        <v>528</v>
      </c>
      <c r="B9" s="3"/>
    </row>
    <row r="10" spans="1:9">
      <c r="A10" s="3" t="s">
        <v>530</v>
      </c>
      <c r="B10" s="3"/>
    </row>
    <row r="11" spans="1:9">
      <c r="A11" s="3" t="s">
        <v>532</v>
      </c>
      <c r="B11" s="3"/>
    </row>
    <row r="12" spans="1:9">
      <c r="A12" s="3" t="s">
        <v>534</v>
      </c>
      <c r="B12" s="3"/>
    </row>
    <row r="13" spans="1:9">
      <c r="A13" s="3" t="s">
        <v>535</v>
      </c>
      <c r="B13" s="3"/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3"/>
  <sheetViews>
    <sheetView topLeftCell="A13" workbookViewId="0">
      <selection activeCell="C25" sqref="C25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2" customFormat="1" ht="24.95" customHeight="1">
      <c r="A1" s="27" t="s">
        <v>839</v>
      </c>
      <c r="B1" s="27" t="s">
        <v>837</v>
      </c>
      <c r="C1" s="27" t="s">
        <v>838</v>
      </c>
      <c r="D1" s="27" t="s">
        <v>796</v>
      </c>
      <c r="E1" s="27" t="s">
        <v>797</v>
      </c>
      <c r="F1" s="28" t="s">
        <v>858</v>
      </c>
    </row>
    <row r="2" spans="1:6" ht="24.95" customHeight="1">
      <c r="A2" s="83" t="s">
        <v>834</v>
      </c>
      <c r="B2" s="83" t="s">
        <v>798</v>
      </c>
      <c r="C2" s="23" t="s">
        <v>799</v>
      </c>
      <c r="D2" s="23" t="s">
        <v>800</v>
      </c>
      <c r="E2" s="23" t="s">
        <v>801</v>
      </c>
      <c r="F2" s="23"/>
    </row>
    <row r="3" spans="1:6" ht="24.95" customHeight="1">
      <c r="A3" s="82" t="s">
        <v>833</v>
      </c>
      <c r="B3" s="82" t="s">
        <v>802</v>
      </c>
      <c r="C3" s="23" t="s">
        <v>803</v>
      </c>
      <c r="D3" s="23" t="s">
        <v>804</v>
      </c>
      <c r="E3" s="23" t="s">
        <v>805</v>
      </c>
      <c r="F3" s="23"/>
    </row>
    <row r="4" spans="1:6" ht="24.95" customHeight="1">
      <c r="A4" s="23" t="s">
        <v>834</v>
      </c>
      <c r="B4" s="23" t="s">
        <v>1296</v>
      </c>
      <c r="C4" s="23" t="s">
        <v>1295</v>
      </c>
      <c r="D4" s="23"/>
      <c r="E4" s="23"/>
      <c r="F4" s="23"/>
    </row>
    <row r="5" spans="1:6" ht="24.95" customHeight="1">
      <c r="A5" s="23" t="s">
        <v>833</v>
      </c>
      <c r="B5" s="23" t="s">
        <v>806</v>
      </c>
      <c r="C5" s="23" t="s">
        <v>807</v>
      </c>
      <c r="D5" s="23" t="s">
        <v>808</v>
      </c>
      <c r="E5" s="23" t="s">
        <v>809</v>
      </c>
      <c r="F5" s="23"/>
    </row>
    <row r="6" spans="1:6" ht="24.95" customHeight="1">
      <c r="A6" s="23" t="s">
        <v>833</v>
      </c>
      <c r="B6" s="23" t="s">
        <v>810</v>
      </c>
      <c r="C6" s="23" t="s">
        <v>811</v>
      </c>
      <c r="D6" s="24"/>
      <c r="E6" s="23" t="s">
        <v>812</v>
      </c>
      <c r="F6" s="23"/>
    </row>
    <row r="7" spans="1:6" ht="24.95" customHeight="1">
      <c r="A7" s="23" t="s">
        <v>833</v>
      </c>
      <c r="B7" s="23" t="s">
        <v>813</v>
      </c>
      <c r="C7" s="23" t="s">
        <v>814</v>
      </c>
      <c r="D7" s="23" t="s">
        <v>815</v>
      </c>
      <c r="E7" s="23" t="s">
        <v>816</v>
      </c>
      <c r="F7" s="23"/>
    </row>
    <row r="8" spans="1:6" ht="24.95" customHeight="1">
      <c r="A8" s="23" t="s">
        <v>833</v>
      </c>
      <c r="B8" s="23" t="s">
        <v>817</v>
      </c>
      <c r="C8" s="23" t="s">
        <v>818</v>
      </c>
      <c r="D8" s="25"/>
      <c r="E8" s="31" t="s">
        <v>862</v>
      </c>
      <c r="F8" s="23"/>
    </row>
    <row r="9" spans="1:6" ht="24.95" customHeight="1">
      <c r="A9" s="23" t="s">
        <v>833</v>
      </c>
      <c r="B9" s="23" t="s">
        <v>870</v>
      </c>
      <c r="C9" s="23" t="s">
        <v>871</v>
      </c>
      <c r="D9" s="23"/>
      <c r="E9" s="23"/>
      <c r="F9" s="23"/>
    </row>
    <row r="10" spans="1:6" ht="24.95" customHeight="1">
      <c r="A10" s="23"/>
      <c r="B10" s="23"/>
      <c r="C10" s="23"/>
      <c r="D10" s="23"/>
      <c r="E10" s="23"/>
      <c r="F10" s="23"/>
    </row>
    <row r="11" spans="1:6" ht="24.95" customHeight="1">
      <c r="A11" s="23" t="s">
        <v>836</v>
      </c>
      <c r="B11" s="23" t="s">
        <v>819</v>
      </c>
      <c r="C11" s="23" t="s">
        <v>843</v>
      </c>
      <c r="D11" s="23"/>
      <c r="E11" s="29" t="s">
        <v>863</v>
      </c>
      <c r="F11" s="23"/>
    </row>
    <row r="12" spans="1:6" ht="24.95" customHeight="1">
      <c r="A12" s="23" t="s">
        <v>835</v>
      </c>
      <c r="B12" s="23" t="s">
        <v>846</v>
      </c>
      <c r="C12" s="23" t="s">
        <v>820</v>
      </c>
      <c r="D12" s="23"/>
      <c r="E12" s="23" t="s">
        <v>786</v>
      </c>
      <c r="F12" s="23"/>
    </row>
    <row r="13" spans="1:6" ht="24.95" customHeight="1">
      <c r="A13" s="23" t="s">
        <v>835</v>
      </c>
      <c r="B13" s="23" t="s">
        <v>845</v>
      </c>
      <c r="C13" s="23" t="s">
        <v>844</v>
      </c>
      <c r="D13" s="23"/>
      <c r="E13" s="23"/>
      <c r="F13" s="23"/>
    </row>
    <row r="14" spans="1:6" ht="24.95" customHeight="1">
      <c r="A14" s="23" t="s">
        <v>848</v>
      </c>
      <c r="B14" s="30" t="s">
        <v>847</v>
      </c>
      <c r="C14" s="23" t="s">
        <v>853</v>
      </c>
      <c r="D14" s="23"/>
      <c r="E14" s="23" t="s">
        <v>850</v>
      </c>
      <c r="F14" s="23" t="s">
        <v>861</v>
      </c>
    </row>
    <row r="15" spans="1:6" ht="24.95" customHeight="1">
      <c r="A15" s="23" t="s">
        <v>848</v>
      </c>
      <c r="B15" s="23" t="s">
        <v>854</v>
      </c>
      <c r="C15" s="23" t="s">
        <v>855</v>
      </c>
      <c r="D15" s="23"/>
      <c r="E15" s="23" t="s">
        <v>851</v>
      </c>
      <c r="F15" s="23" t="s">
        <v>860</v>
      </c>
    </row>
    <row r="16" spans="1:6" ht="24.95" customHeight="1">
      <c r="A16" s="23" t="s">
        <v>848</v>
      </c>
      <c r="B16" s="23" t="s">
        <v>856</v>
      </c>
      <c r="C16" s="23" t="s">
        <v>857</v>
      </c>
      <c r="D16" s="23"/>
      <c r="E16" s="23" t="s">
        <v>852</v>
      </c>
      <c r="F16" s="23" t="s">
        <v>859</v>
      </c>
    </row>
    <row r="17" spans="1:6" ht="24.95" customHeight="1">
      <c r="A17" s="23"/>
      <c r="B17" s="23" t="s">
        <v>822</v>
      </c>
      <c r="C17" s="23" t="s">
        <v>821</v>
      </c>
      <c r="D17" s="23"/>
      <c r="E17" s="23" t="s">
        <v>823</v>
      </c>
      <c r="F17" s="23"/>
    </row>
    <row r="18" spans="1:6" ht="24.95" customHeight="1">
      <c r="A18" s="23"/>
      <c r="B18" s="23" t="s">
        <v>825</v>
      </c>
      <c r="C18" s="23" t="s">
        <v>824</v>
      </c>
      <c r="D18" s="23"/>
      <c r="E18" s="23" t="s">
        <v>826</v>
      </c>
      <c r="F18" s="23"/>
    </row>
    <row r="19" spans="1:6" ht="24.95" customHeight="1">
      <c r="A19" s="23"/>
      <c r="B19" s="23" t="s">
        <v>828</v>
      </c>
      <c r="C19" s="23" t="s">
        <v>827</v>
      </c>
      <c r="D19" s="23"/>
      <c r="E19" s="23" t="s">
        <v>829</v>
      </c>
      <c r="F19" s="23"/>
    </row>
    <row r="20" spans="1:6" ht="24.95" customHeight="1">
      <c r="A20" s="26"/>
      <c r="B20" s="26" t="s">
        <v>831</v>
      </c>
      <c r="C20" s="26" t="s">
        <v>830</v>
      </c>
      <c r="D20" s="26"/>
      <c r="E20" s="26" t="s">
        <v>832</v>
      </c>
      <c r="F20" s="26"/>
    </row>
    <row r="21" spans="1:6" ht="24.95" customHeight="1">
      <c r="A21" s="26"/>
      <c r="B21" s="26" t="s">
        <v>866</v>
      </c>
      <c r="C21" s="26" t="s">
        <v>867</v>
      </c>
      <c r="D21" s="26"/>
      <c r="E21" s="26" t="s">
        <v>868</v>
      </c>
      <c r="F21" s="26" t="s">
        <v>869</v>
      </c>
    </row>
    <row r="22" spans="1:6" ht="24.95" customHeight="1">
      <c r="A22" s="82"/>
      <c r="B22" s="82" t="s">
        <v>872</v>
      </c>
      <c r="C22" s="82" t="s">
        <v>873</v>
      </c>
      <c r="D22" s="82"/>
      <c r="E22" s="82"/>
      <c r="F22" s="82"/>
    </row>
    <row r="23" spans="1:6" ht="24.95" customHeight="1">
      <c r="A23" s="84"/>
      <c r="B23" s="84" t="s">
        <v>874</v>
      </c>
      <c r="C23" s="85" t="s">
        <v>875</v>
      </c>
      <c r="D23" s="84"/>
      <c r="E23" s="84"/>
      <c r="F23" s="84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57"/>
  <sheetViews>
    <sheetView zoomScaleNormal="100" zoomScaleSheetLayoutView="100" workbookViewId="0">
      <selection activeCell="G237" sqref="G237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34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39" t="s">
        <v>1276</v>
      </c>
      <c r="D1" s="39" t="s">
        <v>1259</v>
      </c>
      <c r="E1" s="19" t="s">
        <v>536</v>
      </c>
      <c r="F1" s="19" t="s">
        <v>522</v>
      </c>
      <c r="G1" s="32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38" t="s">
        <v>1260</v>
      </c>
      <c r="F2" s="1" t="s">
        <v>1215</v>
      </c>
      <c r="G2" s="25" t="s">
        <v>1216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38" t="s">
        <v>1261</v>
      </c>
      <c r="F3" s="1" t="s">
        <v>1217</v>
      </c>
      <c r="G3" s="25" t="s">
        <v>1218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38" t="s">
        <v>1262</v>
      </c>
      <c r="F4" s="1" t="s">
        <v>1211</v>
      </c>
      <c r="G4" s="25" t="s">
        <v>1212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38" t="s">
        <v>1263</v>
      </c>
      <c r="F5" s="7" t="s">
        <v>1213</v>
      </c>
      <c r="G5" s="25" t="s">
        <v>1214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926</v>
      </c>
      <c r="F6" s="7" t="s">
        <v>719</v>
      </c>
      <c r="G6" s="40" t="s">
        <v>1398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927</v>
      </c>
      <c r="F7" s="1" t="s">
        <v>720</v>
      </c>
      <c r="G7" s="25" t="s">
        <v>1399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928</v>
      </c>
      <c r="F8" s="1" t="s">
        <v>721</v>
      </c>
      <c r="G8" s="25" t="s">
        <v>1400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929</v>
      </c>
      <c r="F9" s="1" t="s">
        <v>722</v>
      </c>
      <c r="G9" s="25" t="s">
        <v>1401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930</v>
      </c>
      <c r="F10" s="1" t="s">
        <v>723</v>
      </c>
      <c r="G10" s="25" t="s">
        <v>1402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931</v>
      </c>
      <c r="F11" s="1" t="s">
        <v>724</v>
      </c>
      <c r="G11" s="25" t="s">
        <v>1403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725</v>
      </c>
      <c r="F12" s="1" t="s">
        <v>726</v>
      </c>
      <c r="G12" s="25" t="s">
        <v>1404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727</v>
      </c>
      <c r="F13" s="1" t="s">
        <v>728</v>
      </c>
      <c r="G13" s="25" t="s">
        <v>1405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729</v>
      </c>
      <c r="F14" s="7" t="s">
        <v>730</v>
      </c>
      <c r="G14" s="25" t="s">
        <v>1406</v>
      </c>
    </row>
    <row r="15" spans="1:7" ht="24.95" customHeight="1">
      <c r="A15" s="5" t="str">
        <f t="array" ref="A15">LEFT(F15, MIN(FIND({0,1,2,3,4,5,6,7,8,9}, F15 &amp; "0123456789")) - 1)</f>
        <v>C</v>
      </c>
      <c r="B15" s="1">
        <f t="shared" si="0"/>
        <v>103</v>
      </c>
      <c r="C15" s="1"/>
      <c r="D15" s="1">
        <f t="shared" si="1"/>
        <v>19</v>
      </c>
      <c r="E15" s="1" t="s">
        <v>1512</v>
      </c>
      <c r="F15" s="1" t="s">
        <v>1513</v>
      </c>
      <c r="G15" s="25" t="s">
        <v>1514</v>
      </c>
    </row>
    <row r="16" spans="1:7" ht="24.95" customHeight="1">
      <c r="A16" s="5" t="str">
        <f t="array" ref="A16">LEFT(F16, MIN(FIND({0,1,2,3,4,5,6,7,8,9}, F16 &amp; "0123456789")) - 1)</f>
        <v>C</v>
      </c>
      <c r="B16" s="1">
        <f t="shared" si="0"/>
        <v>104</v>
      </c>
      <c r="C16" s="1"/>
      <c r="D16" s="1">
        <f t="shared" si="1"/>
        <v>17</v>
      </c>
      <c r="E16" s="1" t="s">
        <v>1515</v>
      </c>
      <c r="F16" s="1" t="s">
        <v>1516</v>
      </c>
      <c r="G16" s="25" t="s">
        <v>1517</v>
      </c>
    </row>
    <row r="17" spans="1:7" ht="24.95" customHeight="1">
      <c r="A17" s="5" t="str">
        <f t="array" ref="A17">LEFT(F17, MIN(FIND({0,1,2,3,4,5,6,7,8,9}, F17 &amp; "0123456789")) - 1)</f>
        <v>C</v>
      </c>
      <c r="B17" s="1">
        <f t="shared" si="0"/>
        <v>105</v>
      </c>
      <c r="C17" s="1"/>
      <c r="D17" s="1">
        <f t="shared" si="1"/>
        <v>20</v>
      </c>
      <c r="E17" s="1" t="s">
        <v>1518</v>
      </c>
      <c r="F17" s="1" t="s">
        <v>1519</v>
      </c>
      <c r="G17" s="25" t="s">
        <v>1520</v>
      </c>
    </row>
    <row r="18" spans="1:7" ht="24.95" customHeight="1">
      <c r="A18" s="5" t="str">
        <f t="array" ref="A18">LEFT(F18, MIN(FIND({0,1,2,3,4,5,6,7,8,9}, F18 &amp; "0123456789")) - 1)</f>
        <v>C</v>
      </c>
      <c r="B18" s="1">
        <f t="shared" si="0"/>
        <v>106</v>
      </c>
      <c r="C18" s="1"/>
      <c r="D18" s="1">
        <f t="shared" si="1"/>
        <v>21</v>
      </c>
      <c r="E18" s="1" t="s">
        <v>1521</v>
      </c>
      <c r="F18" s="1" t="s">
        <v>1522</v>
      </c>
      <c r="G18" s="25" t="s">
        <v>1523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20</v>
      </c>
      <c r="C19" s="1"/>
      <c r="D19" s="1">
        <f t="shared" si="1"/>
        <v>19</v>
      </c>
      <c r="E19" s="38" t="s">
        <v>948</v>
      </c>
      <c r="F19" s="1" t="s">
        <v>1108</v>
      </c>
      <c r="G19" s="33" t="s">
        <v>1540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20.100000000000001</v>
      </c>
      <c r="C20" s="1"/>
      <c r="D20" s="1">
        <f t="shared" si="1"/>
        <v>16</v>
      </c>
      <c r="E20" s="1" t="s">
        <v>949</v>
      </c>
      <c r="F20" s="1" t="s">
        <v>1109</v>
      </c>
      <c r="G20" s="25" t="s">
        <v>224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20.2</v>
      </c>
      <c r="C21" s="1"/>
      <c r="D21" s="1">
        <f t="shared" si="1"/>
        <v>14</v>
      </c>
      <c r="E21" s="6" t="s">
        <v>950</v>
      </c>
      <c r="F21" s="1" t="s">
        <v>1110</v>
      </c>
      <c r="G21" s="25" t="s">
        <v>1112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20.3</v>
      </c>
      <c r="C22" s="1"/>
      <c r="D22" s="1">
        <f t="shared" si="1"/>
        <v>18</v>
      </c>
      <c r="E22" s="1" t="s">
        <v>951</v>
      </c>
      <c r="F22" s="1" t="s">
        <v>1111</v>
      </c>
      <c r="G22" s="25" t="s">
        <v>770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20.399999999999999</v>
      </c>
      <c r="C23" s="1"/>
      <c r="D23" s="1">
        <f t="shared" si="1"/>
        <v>19</v>
      </c>
      <c r="E23" s="5" t="s">
        <v>952</v>
      </c>
      <c r="F23" s="1" t="s">
        <v>1113</v>
      </c>
      <c r="G23" s="25" t="s">
        <v>771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20.5</v>
      </c>
      <c r="C24" s="1"/>
      <c r="D24" s="1">
        <f t="shared" si="1"/>
        <v>18</v>
      </c>
      <c r="E24" s="1" t="s">
        <v>953</v>
      </c>
      <c r="F24" s="1" t="s">
        <v>1114</v>
      </c>
      <c r="G24" s="25" t="s">
        <v>772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0.1</v>
      </c>
      <c r="C25" s="1"/>
      <c r="D25" s="1">
        <f t="shared" si="1"/>
        <v>14</v>
      </c>
      <c r="E25" s="1" t="s">
        <v>731</v>
      </c>
      <c r="F25" s="7" t="s">
        <v>33</v>
      </c>
      <c r="G25" s="25" t="s">
        <v>732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0.2</v>
      </c>
      <c r="C26" s="1"/>
      <c r="D26" s="1">
        <f t="shared" si="1"/>
        <v>15</v>
      </c>
      <c r="E26" s="6" t="s">
        <v>733</v>
      </c>
      <c r="F26" s="1" t="s">
        <v>48</v>
      </c>
      <c r="G26" s="25" t="s">
        <v>734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0.3</v>
      </c>
      <c r="C27" s="1"/>
      <c r="D27" s="1">
        <f t="shared" si="1"/>
        <v>18</v>
      </c>
      <c r="E27" s="1" t="s">
        <v>1231</v>
      </c>
      <c r="F27" s="1" t="s">
        <v>60</v>
      </c>
      <c r="G27" s="25" t="s">
        <v>750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0.4</v>
      </c>
      <c r="C28" s="1"/>
      <c r="D28" s="1">
        <f t="shared" si="1"/>
        <v>15</v>
      </c>
      <c r="E28" s="1" t="s">
        <v>1407</v>
      </c>
      <c r="F28" s="1" t="s">
        <v>70</v>
      </c>
      <c r="G28" s="25" t="s">
        <v>1408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0.5</v>
      </c>
      <c r="C29" s="1"/>
      <c r="D29" s="1">
        <f t="shared" si="1"/>
        <v>18</v>
      </c>
      <c r="E29" s="1" t="s">
        <v>792</v>
      </c>
      <c r="F29" s="1" t="s">
        <v>79</v>
      </c>
      <c r="G29" s="25" t="s">
        <v>793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0.6</v>
      </c>
      <c r="C30" s="1"/>
      <c r="D30" s="1">
        <f t="shared" si="1"/>
        <v>15</v>
      </c>
      <c r="E30" s="1" t="s">
        <v>938</v>
      </c>
      <c r="F30" s="1" t="s">
        <v>90</v>
      </c>
      <c r="G30" s="25" t="s">
        <v>939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0.7</v>
      </c>
      <c r="C31" s="1"/>
      <c r="D31" s="1">
        <f t="shared" si="1"/>
        <v>19</v>
      </c>
      <c r="E31" s="1" t="s">
        <v>940</v>
      </c>
      <c r="F31" s="1" t="s">
        <v>98</v>
      </c>
      <c r="G31" s="25" t="s">
        <v>941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1</v>
      </c>
      <c r="C32" s="1"/>
      <c r="D32" s="1">
        <f t="shared" si="1"/>
        <v>21</v>
      </c>
      <c r="E32" s="1" t="s">
        <v>942</v>
      </c>
      <c r="F32" s="1" t="s">
        <v>1088</v>
      </c>
      <c r="G32" s="25" t="s">
        <v>1232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1.1000000000000001</v>
      </c>
      <c r="C33" s="1"/>
      <c r="D33" s="1">
        <f t="shared" si="1"/>
        <v>13</v>
      </c>
      <c r="E33" s="1" t="s">
        <v>1233</v>
      </c>
      <c r="F33" s="1" t="s">
        <v>111</v>
      </c>
      <c r="G33" s="25" t="s">
        <v>943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1.2</v>
      </c>
      <c r="C34" s="1"/>
      <c r="D34" s="1">
        <f t="shared" si="1"/>
        <v>17</v>
      </c>
      <c r="E34" s="1" t="s">
        <v>1234</v>
      </c>
      <c r="F34" s="1" t="s">
        <v>116</v>
      </c>
      <c r="G34" s="25" t="s">
        <v>944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1.3</v>
      </c>
      <c r="C35" s="1"/>
      <c r="D35" s="1">
        <f t="shared" si="1"/>
        <v>18</v>
      </c>
      <c r="E35" s="1" t="s">
        <v>1235</v>
      </c>
      <c r="F35" s="1" t="s">
        <v>122</v>
      </c>
      <c r="G35" s="25" t="s">
        <v>945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1.4</v>
      </c>
      <c r="C36" s="1"/>
      <c r="D36" s="1">
        <f t="shared" si="1"/>
        <v>20</v>
      </c>
      <c r="E36" s="1" t="s">
        <v>946</v>
      </c>
      <c r="F36" s="1" t="s">
        <v>126</v>
      </c>
      <c r="G36" s="25" t="s">
        <v>947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1.5</v>
      </c>
      <c r="C37" s="1"/>
      <c r="D37" s="1">
        <f t="shared" si="1"/>
        <v>15</v>
      </c>
      <c r="E37" s="1" t="s">
        <v>1524</v>
      </c>
      <c r="F37" s="1" t="s">
        <v>131</v>
      </c>
      <c r="G37" s="25" t="s">
        <v>1525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1.6</v>
      </c>
      <c r="C38" s="1"/>
      <c r="D38" s="1">
        <f t="shared" si="1"/>
        <v>18</v>
      </c>
      <c r="E38" s="1" t="s">
        <v>958</v>
      </c>
      <c r="F38" s="1" t="s">
        <v>135</v>
      </c>
      <c r="G38" s="25" t="s">
        <v>959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1.7</v>
      </c>
      <c r="C39" s="1"/>
      <c r="D39" s="1">
        <f t="shared" si="1"/>
        <v>18</v>
      </c>
      <c r="E39" s="1" t="s">
        <v>960</v>
      </c>
      <c r="F39" s="1" t="s">
        <v>138</v>
      </c>
      <c r="G39" s="25" t="s">
        <v>961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2</v>
      </c>
      <c r="C40" s="1"/>
      <c r="D40" s="1">
        <f t="shared" si="1"/>
        <v>15</v>
      </c>
      <c r="E40" s="6" t="s">
        <v>962</v>
      </c>
      <c r="F40" s="7" t="s">
        <v>736</v>
      </c>
      <c r="G40" s="25" t="s">
        <v>963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2.1</v>
      </c>
      <c r="C41" s="1"/>
      <c r="D41" s="1">
        <f t="shared" si="1"/>
        <v>22</v>
      </c>
      <c r="E41" s="1" t="s">
        <v>964</v>
      </c>
      <c r="F41" s="1" t="s">
        <v>144</v>
      </c>
      <c r="G41" s="25" t="s">
        <v>965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2.2000000000000002</v>
      </c>
      <c r="C42" s="1"/>
      <c r="D42" s="1">
        <f t="shared" si="1"/>
        <v>16</v>
      </c>
      <c r="E42" s="1" t="s">
        <v>966</v>
      </c>
      <c r="F42" s="7" t="s">
        <v>148</v>
      </c>
      <c r="G42" s="25" t="s">
        <v>967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2.2999999999999998</v>
      </c>
      <c r="C43" s="1"/>
      <c r="D43" s="1">
        <f t="shared" si="1"/>
        <v>16</v>
      </c>
      <c r="E43" s="38" t="s">
        <v>968</v>
      </c>
      <c r="F43" s="1" t="s">
        <v>151</v>
      </c>
      <c r="G43" s="25" t="s">
        <v>969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2.4</v>
      </c>
      <c r="C44" s="1"/>
      <c r="D44" s="1">
        <f t="shared" si="1"/>
        <v>16</v>
      </c>
      <c r="E44" s="1" t="s">
        <v>970</v>
      </c>
      <c r="F44" s="1" t="s">
        <v>154</v>
      </c>
      <c r="G44" s="25" t="s">
        <v>971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2.5</v>
      </c>
      <c r="C45" s="1"/>
      <c r="D45" s="1">
        <f t="shared" si="1"/>
        <v>16</v>
      </c>
      <c r="E45" s="6" t="s">
        <v>972</v>
      </c>
      <c r="F45" s="7" t="s">
        <v>157</v>
      </c>
      <c r="G45" s="25" t="s">
        <v>973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2.6</v>
      </c>
      <c r="C46" s="1"/>
      <c r="D46" s="1">
        <f t="shared" si="1"/>
        <v>16</v>
      </c>
      <c r="E46" s="8" t="s">
        <v>974</v>
      </c>
      <c r="F46" s="7" t="s">
        <v>161</v>
      </c>
      <c r="G46" s="25" t="s">
        <v>975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2.7</v>
      </c>
      <c r="C47" s="1"/>
      <c r="D47" s="1">
        <f t="shared" si="1"/>
        <v>16</v>
      </c>
      <c r="E47" s="5" t="s">
        <v>976</v>
      </c>
      <c r="F47" s="7" t="s">
        <v>165</v>
      </c>
      <c r="G47" s="25" t="s">
        <v>977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3</v>
      </c>
      <c r="C48" s="1"/>
      <c r="D48" s="1">
        <f t="shared" si="1"/>
        <v>16</v>
      </c>
      <c r="E48" s="8" t="s">
        <v>1258</v>
      </c>
      <c r="F48" s="1" t="s">
        <v>743</v>
      </c>
      <c r="G48" s="25" t="s">
        <v>1089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3.1</v>
      </c>
      <c r="C49" s="1"/>
      <c r="D49" s="1">
        <f t="shared" si="1"/>
        <v>20</v>
      </c>
      <c r="E49" s="1" t="s">
        <v>1090</v>
      </c>
      <c r="F49" s="1" t="s">
        <v>169</v>
      </c>
      <c r="G49" s="25" t="s">
        <v>1342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3.4</v>
      </c>
      <c r="C50" s="1"/>
      <c r="D50" s="1">
        <f t="shared" si="1"/>
        <v>15</v>
      </c>
      <c r="E50" s="8" t="s">
        <v>1093</v>
      </c>
      <c r="F50" s="1" t="s">
        <v>183</v>
      </c>
      <c r="G50" s="25" t="s">
        <v>1094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3.5</v>
      </c>
      <c r="C51" s="1"/>
      <c r="D51" s="1">
        <f t="shared" si="1"/>
        <v>18</v>
      </c>
      <c r="E51" s="1" t="s">
        <v>1095</v>
      </c>
      <c r="F51" s="1" t="s">
        <v>188</v>
      </c>
      <c r="G51" s="25" t="s">
        <v>1096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3.7</v>
      </c>
      <c r="C52" s="1"/>
      <c r="D52" s="1">
        <f t="shared" si="1"/>
        <v>14</v>
      </c>
      <c r="E52" s="1" t="s">
        <v>1409</v>
      </c>
      <c r="F52" s="1" t="s">
        <v>197</v>
      </c>
      <c r="G52" s="25" t="s">
        <v>1410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4</v>
      </c>
      <c r="C53" s="1"/>
      <c r="D53" s="1">
        <f t="shared" si="1"/>
        <v>16</v>
      </c>
      <c r="E53" s="1" t="s">
        <v>1526</v>
      </c>
      <c r="F53" s="1" t="s">
        <v>749</v>
      </c>
      <c r="G53" s="25" t="s">
        <v>1527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4.0999999999999996</v>
      </c>
      <c r="C54" s="1"/>
      <c r="D54" s="1">
        <f t="shared" si="1"/>
        <v>23</v>
      </c>
      <c r="E54" s="1" t="s">
        <v>1411</v>
      </c>
      <c r="F54" s="1" t="s">
        <v>203</v>
      </c>
      <c r="G54" s="25" t="s">
        <v>1412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4.2</v>
      </c>
      <c r="C55" s="1"/>
      <c r="D55" s="1">
        <f t="shared" si="1"/>
        <v>21</v>
      </c>
      <c r="E55" s="1" t="s">
        <v>1528</v>
      </c>
      <c r="F55" s="1" t="s">
        <v>207</v>
      </c>
      <c r="G55" s="25" t="s">
        <v>1529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4.3</v>
      </c>
      <c r="C56" s="1"/>
      <c r="D56" s="1">
        <f t="shared" si="1"/>
        <v>15</v>
      </c>
      <c r="E56" s="1" t="s">
        <v>1530</v>
      </c>
      <c r="F56" s="1" t="s">
        <v>211</v>
      </c>
      <c r="G56" s="25" t="s">
        <v>1531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4.4000000000000004</v>
      </c>
      <c r="C57" s="1"/>
      <c r="D57" s="1">
        <f t="shared" si="1"/>
        <v>16</v>
      </c>
      <c r="E57" s="5" t="s">
        <v>1532</v>
      </c>
      <c r="F57" s="1" t="s">
        <v>215</v>
      </c>
      <c r="G57" s="25" t="s">
        <v>1533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4.5</v>
      </c>
      <c r="C58" s="1"/>
      <c r="D58" s="1">
        <f t="shared" si="1"/>
        <v>21</v>
      </c>
      <c r="E58" s="8" t="s">
        <v>1534</v>
      </c>
      <c r="F58" s="1" t="s">
        <v>219</v>
      </c>
      <c r="G58" s="25" t="s">
        <v>1535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10</v>
      </c>
      <c r="C59" s="1"/>
      <c r="D59" s="1">
        <f t="shared" si="1"/>
        <v>15</v>
      </c>
      <c r="E59" s="38" t="s">
        <v>735</v>
      </c>
      <c r="F59" s="1" t="s">
        <v>1097</v>
      </c>
      <c r="G59" s="25" t="s">
        <v>737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10.1</v>
      </c>
      <c r="C60" s="1"/>
      <c r="D60" s="1">
        <f t="shared" si="1"/>
        <v>14</v>
      </c>
      <c r="E60" s="38" t="s">
        <v>738</v>
      </c>
      <c r="F60" s="1" t="s">
        <v>356</v>
      </c>
      <c r="G60" s="25" t="s">
        <v>739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10.199999999999999</v>
      </c>
      <c r="C61" s="1"/>
      <c r="D61" s="1">
        <f t="shared" si="1"/>
        <v>15</v>
      </c>
      <c r="E61" s="38" t="s">
        <v>740</v>
      </c>
      <c r="F61" s="1" t="s">
        <v>360</v>
      </c>
      <c r="G61" s="25" t="s">
        <v>741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10.3</v>
      </c>
      <c r="C62" s="1"/>
      <c r="D62" s="1">
        <f t="shared" si="1"/>
        <v>16</v>
      </c>
      <c r="E62" s="1" t="s">
        <v>742</v>
      </c>
      <c r="F62" s="1" t="s">
        <v>362</v>
      </c>
      <c r="G62" s="25" t="s">
        <v>744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10.4</v>
      </c>
      <c r="C63" s="1"/>
      <c r="D63" s="1">
        <f t="shared" si="1"/>
        <v>15</v>
      </c>
      <c r="E63" s="1" t="s">
        <v>745</v>
      </c>
      <c r="F63" s="1" t="s">
        <v>364</v>
      </c>
      <c r="G63" s="25" t="s">
        <v>746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10.5</v>
      </c>
      <c r="C64" s="1"/>
      <c r="D64" s="1">
        <f t="shared" si="1"/>
        <v>16</v>
      </c>
      <c r="E64" s="8" t="s">
        <v>747</v>
      </c>
      <c r="F64" s="7" t="s">
        <v>366</v>
      </c>
      <c r="G64" s="25" t="s">
        <v>748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10.6</v>
      </c>
      <c r="C65" s="1"/>
      <c r="D65" s="1">
        <f t="shared" si="1"/>
        <v>17</v>
      </c>
      <c r="E65" s="1" t="s">
        <v>1098</v>
      </c>
      <c r="F65" s="7" t="s">
        <v>368</v>
      </c>
      <c r="G65" s="25" t="s">
        <v>794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10.7</v>
      </c>
      <c r="C66" s="1"/>
      <c r="D66" s="1">
        <f t="shared" ref="D66:D129" si="3">LEN(E66)</f>
        <v>19</v>
      </c>
      <c r="E66" s="8" t="s">
        <v>1099</v>
      </c>
      <c r="F66" s="1" t="s">
        <v>370</v>
      </c>
      <c r="G66" s="25" t="s">
        <v>795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11</v>
      </c>
      <c r="C67" s="1"/>
      <c r="D67" s="1">
        <f t="shared" si="3"/>
        <v>15</v>
      </c>
      <c r="E67" s="1" t="s">
        <v>1100</v>
      </c>
      <c r="F67" s="1" t="s">
        <v>1101</v>
      </c>
      <c r="G67" s="25" t="s">
        <v>937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11.1</v>
      </c>
      <c r="C68" s="1"/>
      <c r="D68" s="1">
        <f t="shared" si="3"/>
        <v>19</v>
      </c>
      <c r="E68" s="1" t="s">
        <v>1102</v>
      </c>
      <c r="F68" s="1" t="s">
        <v>373</v>
      </c>
      <c r="G68" s="25" t="s">
        <v>1103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11.2</v>
      </c>
      <c r="C69" s="1"/>
      <c r="D69" s="1">
        <f t="shared" si="3"/>
        <v>14</v>
      </c>
      <c r="E69" s="38" t="s">
        <v>1536</v>
      </c>
      <c r="F69" s="5" t="s">
        <v>375</v>
      </c>
      <c r="G69" s="33" t="s">
        <v>1104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11.3</v>
      </c>
      <c r="C70" s="1"/>
      <c r="D70" s="1">
        <f t="shared" si="3"/>
        <v>22</v>
      </c>
      <c r="E70" s="1" t="s">
        <v>1105</v>
      </c>
      <c r="F70" s="1" t="s">
        <v>377</v>
      </c>
      <c r="G70" s="33" t="s">
        <v>1106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11.4</v>
      </c>
      <c r="C71" s="1"/>
      <c r="D71" s="1">
        <f t="shared" si="3"/>
        <v>17</v>
      </c>
      <c r="E71" s="1" t="s">
        <v>1537</v>
      </c>
      <c r="F71" s="1" t="s">
        <v>379</v>
      </c>
      <c r="G71" s="33" t="s">
        <v>1107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11.5</v>
      </c>
      <c r="C72" s="1"/>
      <c r="D72" s="1">
        <f t="shared" si="3"/>
        <v>17</v>
      </c>
      <c r="E72" s="1" t="s">
        <v>1413</v>
      </c>
      <c r="F72" s="1" t="s">
        <v>381</v>
      </c>
      <c r="G72" s="33" t="s">
        <v>1414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11.6</v>
      </c>
      <c r="C73" s="1"/>
      <c r="D73" s="1">
        <f t="shared" si="3"/>
        <v>19</v>
      </c>
      <c r="E73" s="1" t="s">
        <v>1415</v>
      </c>
      <c r="F73" s="1" t="s">
        <v>383</v>
      </c>
      <c r="G73" s="33" t="s">
        <v>1416</v>
      </c>
    </row>
    <row r="74" spans="1:7" ht="24.95" customHeight="1">
      <c r="A74" s="5" t="str">
        <f t="array" ref="A74">LEFT(F74, MIN(FIND({0,1,2,3,4,5,6,7,8,9}, F74 &amp; "0123456789")) - 1)</f>
        <v>M</v>
      </c>
      <c r="B74" s="1">
        <f t="shared" si="2"/>
        <v>11.7</v>
      </c>
      <c r="C74" s="1"/>
      <c r="D74" s="1">
        <f t="shared" si="3"/>
        <v>16</v>
      </c>
      <c r="E74" s="1" t="s">
        <v>1417</v>
      </c>
      <c r="F74" s="1" t="s">
        <v>385</v>
      </c>
      <c r="G74" s="33" t="s">
        <v>1418</v>
      </c>
    </row>
    <row r="75" spans="1:7" ht="24.95" customHeight="1">
      <c r="A75" s="5" t="str">
        <f t="array" ref="A75">LEFT(F75, MIN(FIND({0,1,2,3,4,5,6,7,8,9}, F75 &amp; "0123456789")) - 1)</f>
        <v>M</v>
      </c>
      <c r="B75" s="1">
        <f t="shared" si="2"/>
        <v>12</v>
      </c>
      <c r="C75" s="1"/>
      <c r="D75" s="1">
        <f t="shared" si="3"/>
        <v>18</v>
      </c>
      <c r="E75" s="1" t="s">
        <v>1419</v>
      </c>
      <c r="F75" s="1" t="s">
        <v>1420</v>
      </c>
      <c r="G75" s="33" t="s">
        <v>1421</v>
      </c>
    </row>
    <row r="76" spans="1:7" ht="24.95" customHeight="1">
      <c r="A76" s="5" t="str">
        <f t="array" ref="A76">LEFT(F76, MIN(FIND({0,1,2,3,4,5,6,7,8,9}, F76 &amp; "0123456789")) - 1)</f>
        <v>M</v>
      </c>
      <c r="B76" s="1">
        <f t="shared" si="2"/>
        <v>12.1</v>
      </c>
      <c r="C76" s="1"/>
      <c r="D76" s="1">
        <f t="shared" si="3"/>
        <v>16</v>
      </c>
      <c r="E76" s="6" t="s">
        <v>1422</v>
      </c>
      <c r="F76" s="7" t="s">
        <v>387</v>
      </c>
      <c r="G76" s="33" t="s">
        <v>1423</v>
      </c>
    </row>
    <row r="77" spans="1:7" ht="24.95" customHeight="1">
      <c r="A77" s="5" t="str">
        <f t="array" ref="A77">LEFT(F77, MIN(FIND({0,1,2,3,4,5,6,7,8,9}, F77 &amp; "0123456789")) - 1)</f>
        <v>M</v>
      </c>
      <c r="B77" s="1">
        <f t="shared" si="2"/>
        <v>12.2</v>
      </c>
      <c r="C77" s="1"/>
      <c r="D77" s="1">
        <f t="shared" si="3"/>
        <v>18</v>
      </c>
      <c r="E77" s="1" t="s">
        <v>1424</v>
      </c>
      <c r="F77" s="7" t="s">
        <v>389</v>
      </c>
      <c r="G77" s="33" t="s">
        <v>1425</v>
      </c>
    </row>
    <row r="78" spans="1:7" ht="24.95" customHeight="1">
      <c r="A78" s="5" t="str">
        <f t="array" ref="A78">LEFT(F78, MIN(FIND({0,1,2,3,4,5,6,7,8,9}, F78 &amp; "0123456789")) - 1)</f>
        <v>M</v>
      </c>
      <c r="B78" s="1">
        <f t="shared" si="2"/>
        <v>12.3</v>
      </c>
      <c r="C78" s="1"/>
      <c r="D78" s="1">
        <f t="shared" si="3"/>
        <v>20</v>
      </c>
      <c r="E78" s="1" t="s">
        <v>1538</v>
      </c>
      <c r="F78" s="1" t="s">
        <v>390</v>
      </c>
      <c r="G78" s="33" t="s">
        <v>1539</v>
      </c>
    </row>
    <row r="79" spans="1:7" ht="24.95" customHeight="1">
      <c r="A79" s="5" t="str">
        <f t="array" ref="A79">LEFT(F79, MIN(FIND({0,1,2,3,4,5,6,7,8,9}, F79 &amp; "0123456789")) - 1)</f>
        <v>M</v>
      </c>
      <c r="B79" s="1">
        <f t="shared" si="2"/>
        <v>20.6</v>
      </c>
      <c r="C79" s="1"/>
      <c r="D79" s="1">
        <f t="shared" si="3"/>
        <v>15</v>
      </c>
      <c r="E79" s="38" t="s">
        <v>956</v>
      </c>
      <c r="F79" s="1" t="s">
        <v>1115</v>
      </c>
      <c r="G79" s="25" t="s">
        <v>957</v>
      </c>
    </row>
    <row r="80" spans="1:7" ht="24.95" customHeight="1">
      <c r="A80" s="5" t="str">
        <f t="array" ref="A80">LEFT(F80, MIN(FIND({0,1,2,3,4,5,6,7,8,9}, F80 &amp; "0123456789")) - 1)</f>
        <v>M</v>
      </c>
      <c r="B80" s="1">
        <f t="shared" si="2"/>
        <v>20.7</v>
      </c>
      <c r="C80" s="1"/>
      <c r="D80" s="1">
        <f t="shared" si="3"/>
        <v>21</v>
      </c>
      <c r="E80" s="1" t="s">
        <v>1426</v>
      </c>
      <c r="F80" s="1" t="s">
        <v>1116</v>
      </c>
      <c r="G80" s="40" t="s">
        <v>1091</v>
      </c>
    </row>
    <row r="81" spans="1:7" ht="24.95" customHeight="1">
      <c r="A81" s="5" t="str">
        <f t="array" ref="A81">LEFT(F81, MIN(FIND({0,1,2,3,4,5,6,7,8,9}, F81 &amp; "0123456789")) - 1)</f>
        <v>M</v>
      </c>
      <c r="B81" s="1">
        <f t="shared" si="2"/>
        <v>21</v>
      </c>
      <c r="C81" s="1"/>
      <c r="D81" s="1">
        <f t="shared" si="3"/>
        <v>21</v>
      </c>
      <c r="E81" s="38" t="s">
        <v>1428</v>
      </c>
      <c r="F81" s="1" t="s">
        <v>1427</v>
      </c>
      <c r="G81" s="40" t="s">
        <v>1092</v>
      </c>
    </row>
    <row r="82" spans="1:7" ht="24.95" customHeight="1">
      <c r="A82" s="5" t="str">
        <f t="array" ref="A82">LEFT(F82, MIN(FIND({0,1,2,3,4,5,6,7,8,9}, F82 &amp; "0123456789")) - 1)</f>
        <v>M</v>
      </c>
      <c r="B82" s="1">
        <f t="shared" si="2"/>
        <v>21.1</v>
      </c>
      <c r="C82" s="1"/>
      <c r="D82" s="1">
        <f t="shared" si="3"/>
        <v>15</v>
      </c>
      <c r="E82" s="1" t="s">
        <v>1264</v>
      </c>
      <c r="F82" s="1" t="s">
        <v>1429</v>
      </c>
      <c r="G82" s="25" t="s">
        <v>954</v>
      </c>
    </row>
    <row r="83" spans="1:7" ht="24.95" customHeight="1">
      <c r="A83" s="5" t="str">
        <f t="array" ref="A83">LEFT(F83, MIN(FIND({0,1,2,3,4,5,6,7,8,9}, F83 &amp; "0123456789")) - 1)</f>
        <v>M</v>
      </c>
      <c r="B83" s="1">
        <f t="shared" si="2"/>
        <v>21.2</v>
      </c>
      <c r="C83" s="1"/>
      <c r="D83" s="1">
        <f t="shared" si="3"/>
        <v>15</v>
      </c>
      <c r="E83" s="1" t="s">
        <v>1265</v>
      </c>
      <c r="F83" s="1" t="s">
        <v>1430</v>
      </c>
      <c r="G83" s="25" t="s">
        <v>955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101</v>
      </c>
      <c r="C84" s="1"/>
      <c r="D84" s="1">
        <f t="shared" si="3"/>
        <v>16</v>
      </c>
      <c r="E84" s="1" t="s">
        <v>753</v>
      </c>
      <c r="F84" s="1" t="s">
        <v>21</v>
      </c>
      <c r="G84" s="25" t="s">
        <v>754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102</v>
      </c>
      <c r="C85" s="1"/>
      <c r="D85" s="1">
        <f t="shared" si="3"/>
        <v>14</v>
      </c>
      <c r="E85" s="1" t="s">
        <v>755</v>
      </c>
      <c r="F85" s="1" t="s">
        <v>40</v>
      </c>
      <c r="G85" s="25" t="s">
        <v>1541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103</v>
      </c>
      <c r="C86" s="1"/>
      <c r="D86" s="1">
        <f t="shared" si="3"/>
        <v>16</v>
      </c>
      <c r="E86" s="1" t="s">
        <v>1431</v>
      </c>
      <c r="F86" s="1" t="s">
        <v>54</v>
      </c>
      <c r="G86" s="25" t="s">
        <v>1432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104</v>
      </c>
      <c r="C87" s="1"/>
      <c r="D87" s="1">
        <f t="shared" si="3"/>
        <v>18</v>
      </c>
      <c r="E87" s="1" t="s">
        <v>1280</v>
      </c>
      <c r="F87" s="1" t="s">
        <v>64</v>
      </c>
      <c r="G87" s="25" t="s">
        <v>1281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105</v>
      </c>
      <c r="C88" s="1"/>
      <c r="D88" s="1">
        <f t="shared" si="3"/>
        <v>16</v>
      </c>
      <c r="E88" s="1" t="s">
        <v>756</v>
      </c>
      <c r="F88" s="1" t="s">
        <v>73</v>
      </c>
      <c r="G88" s="25" t="s">
        <v>757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106</v>
      </c>
      <c r="C89" s="1"/>
      <c r="D89" s="1">
        <f t="shared" si="3"/>
        <v>15</v>
      </c>
      <c r="E89" s="6" t="s">
        <v>1236</v>
      </c>
      <c r="F89" s="1" t="s">
        <v>84</v>
      </c>
      <c r="G89" s="25" t="s">
        <v>1237</v>
      </c>
    </row>
    <row r="90" spans="1:7" ht="24.95" customHeight="1">
      <c r="A90" s="5" t="str">
        <f t="array" ref="A90">LEFT(F90, MIN(FIND({0,1,2,3,4,5,6,7,8,9}, F90 &amp; "0123456789")) - 1)</f>
        <v>T</v>
      </c>
      <c r="B90" s="1">
        <f t="shared" si="2"/>
        <v>107</v>
      </c>
      <c r="C90" s="1"/>
      <c r="D90" s="1">
        <f t="shared" si="3"/>
        <v>20</v>
      </c>
      <c r="E90" s="1" t="s">
        <v>1266</v>
      </c>
      <c r="F90" s="1" t="s">
        <v>93</v>
      </c>
      <c r="G90" s="25" t="s">
        <v>758</v>
      </c>
    </row>
    <row r="91" spans="1:7" ht="24.95" customHeight="1">
      <c r="A91" s="5" t="str">
        <f t="array" ref="A91">LEFT(F91, MIN(FIND({0,1,2,3,4,5,6,7,8,9}, F91 &amp; "0123456789")) - 1)</f>
        <v>T</v>
      </c>
      <c r="B91" s="1">
        <f t="shared" si="2"/>
        <v>110</v>
      </c>
      <c r="C91" s="1"/>
      <c r="D91" s="1">
        <f t="shared" si="3"/>
        <v>18</v>
      </c>
      <c r="E91" s="1" t="s">
        <v>759</v>
      </c>
      <c r="F91" s="1" t="s">
        <v>114</v>
      </c>
      <c r="G91" s="25" t="s">
        <v>760</v>
      </c>
    </row>
    <row r="92" spans="1:7" ht="24.95" customHeight="1">
      <c r="A92" s="5" t="str">
        <f t="array" ref="A92">LEFT(F92, MIN(FIND({0,1,2,3,4,5,6,7,8,9}, F92 &amp; "0123456789")) - 1)</f>
        <v>T</v>
      </c>
      <c r="B92" s="1">
        <f t="shared" si="2"/>
        <v>111</v>
      </c>
      <c r="C92" s="1"/>
      <c r="D92" s="1">
        <f t="shared" si="3"/>
        <v>18</v>
      </c>
      <c r="E92" s="1" t="s">
        <v>761</v>
      </c>
      <c r="F92" s="1" t="s">
        <v>120</v>
      </c>
      <c r="G92" s="25" t="s">
        <v>762</v>
      </c>
    </row>
    <row r="93" spans="1:7" ht="24.95" customHeight="1">
      <c r="A93" s="5" t="str">
        <f t="array" ref="A93">LEFT(F93, MIN(FIND({0,1,2,3,4,5,6,7,8,9}, F93 &amp; "0123456789")) - 1)</f>
        <v>T</v>
      </c>
      <c r="B93" s="1">
        <f t="shared" si="2"/>
        <v>112</v>
      </c>
      <c r="C93" s="1"/>
      <c r="D93" s="1">
        <f t="shared" si="3"/>
        <v>18</v>
      </c>
      <c r="E93" s="6" t="s">
        <v>763</v>
      </c>
      <c r="F93" s="7" t="s">
        <v>124</v>
      </c>
      <c r="G93" s="25" t="s">
        <v>764</v>
      </c>
    </row>
    <row r="94" spans="1:7" ht="24.95" customHeight="1">
      <c r="A94" s="5" t="str">
        <f t="array" ref="A94">LEFT(F94, MIN(FIND({0,1,2,3,4,5,6,7,8,9}, F94 &amp; "0123456789")) - 1)</f>
        <v>T</v>
      </c>
      <c r="B94" s="1">
        <f t="shared" si="2"/>
        <v>113</v>
      </c>
      <c r="C94" s="1"/>
      <c r="D94" s="1">
        <f t="shared" si="3"/>
        <v>18</v>
      </c>
      <c r="E94" s="1" t="s">
        <v>765</v>
      </c>
      <c r="F94" s="1" t="s">
        <v>129</v>
      </c>
      <c r="G94" s="25" t="s">
        <v>766</v>
      </c>
    </row>
    <row r="95" spans="1:7" ht="24.95" customHeight="1">
      <c r="A95" s="5" t="str">
        <f t="array" ref="A95">LEFT(F95, MIN(FIND({0,1,2,3,4,5,6,7,8,9}, F95 &amp; "0123456789")) - 1)</f>
        <v>T</v>
      </c>
      <c r="B95" s="1">
        <f t="shared" si="2"/>
        <v>115</v>
      </c>
      <c r="C95" s="1"/>
      <c r="D95" s="1">
        <f t="shared" si="3"/>
        <v>22</v>
      </c>
      <c r="E95" s="1" t="s">
        <v>1267</v>
      </c>
      <c r="F95" s="54" t="s">
        <v>136</v>
      </c>
      <c r="G95" s="25" t="s">
        <v>1433</v>
      </c>
    </row>
    <row r="96" spans="1:7" ht="24.95" customHeight="1">
      <c r="A96" s="5" t="str">
        <f t="array" ref="A96">LEFT(F96, MIN(FIND({0,1,2,3,4,5,6,7,8,9}, F96 &amp; "0123456789")) - 1)</f>
        <v>T</v>
      </c>
      <c r="B96" s="1">
        <f t="shared" si="2"/>
        <v>116</v>
      </c>
      <c r="C96" s="1"/>
      <c r="D96" s="1">
        <f t="shared" si="3"/>
        <v>22</v>
      </c>
      <c r="E96" s="1" t="s">
        <v>1238</v>
      </c>
      <c r="F96" s="54" t="s">
        <v>139</v>
      </c>
      <c r="G96" s="25" t="s">
        <v>1268</v>
      </c>
    </row>
    <row r="97" spans="1:7" ht="24.95" customHeight="1">
      <c r="A97" s="5" t="str">
        <f t="array" ref="A97">LEFT(F97, MIN(FIND({0,1,2,3,4,5,6,7,8,9}, F97 &amp; "0123456789")) - 1)</f>
        <v>T</v>
      </c>
      <c r="B97" s="1">
        <f t="shared" si="2"/>
        <v>118</v>
      </c>
      <c r="C97" s="1"/>
      <c r="D97" s="1">
        <f t="shared" si="3"/>
        <v>18</v>
      </c>
      <c r="E97" s="1" t="s">
        <v>767</v>
      </c>
      <c r="F97" s="54" t="s">
        <v>147</v>
      </c>
      <c r="G97" s="25" t="s">
        <v>768</v>
      </c>
    </row>
    <row r="98" spans="1:7" ht="24.95" customHeight="1">
      <c r="A98" s="5" t="str">
        <f t="array" ref="A98">LEFT(F98, MIN(FIND({0,1,2,3,4,5,6,7,8,9}, F98 &amp; "0123456789")) - 1)</f>
        <v>T</v>
      </c>
      <c r="B98" s="1">
        <f t="shared" si="2"/>
        <v>119</v>
      </c>
      <c r="C98" s="1"/>
      <c r="D98" s="1">
        <f t="shared" si="3"/>
        <v>22</v>
      </c>
      <c r="E98" s="1" t="s">
        <v>1239</v>
      </c>
      <c r="F98" s="54" t="s">
        <v>150</v>
      </c>
      <c r="G98" s="25" t="s">
        <v>1240</v>
      </c>
    </row>
    <row r="99" spans="1:7" ht="24.95" customHeight="1">
      <c r="A99" s="5" t="str">
        <f t="array" ref="A99">LEFT(F99, MIN(FIND({0,1,2,3,4,5,6,7,8,9}, F99 &amp; "0123456789")) - 1)</f>
        <v>T</v>
      </c>
      <c r="B99" s="1">
        <f t="shared" si="2"/>
        <v>120</v>
      </c>
      <c r="C99" s="1"/>
      <c r="D99" s="1">
        <f t="shared" si="3"/>
        <v>19</v>
      </c>
      <c r="E99" s="1" t="s">
        <v>1282</v>
      </c>
      <c r="F99" s="54" t="s">
        <v>153</v>
      </c>
      <c r="G99" s="59" t="s">
        <v>1283</v>
      </c>
    </row>
    <row r="100" spans="1:7" ht="24.95" customHeight="1">
      <c r="A100" s="5" t="str">
        <f t="array" ref="A100">LEFT(F100, MIN(FIND({0,1,2,3,4,5,6,7,8,9}, F100 &amp; "0123456789")) - 1)</f>
        <v>T</v>
      </c>
      <c r="B100" s="1">
        <f t="shared" si="2"/>
        <v>121</v>
      </c>
      <c r="C100" s="1"/>
      <c r="D100" s="1">
        <f t="shared" si="3"/>
        <v>17</v>
      </c>
      <c r="E100" s="1" t="s">
        <v>1542</v>
      </c>
      <c r="F100" s="54" t="s">
        <v>156</v>
      </c>
      <c r="G100" s="59" t="s">
        <v>1543</v>
      </c>
    </row>
    <row r="101" spans="1:7" ht="24.95" customHeight="1">
      <c r="A101" s="5" t="str">
        <f t="array" ref="A101">LEFT(F101, MIN(FIND({0,1,2,3,4,5,6,7,8,9}, F101 &amp; "0123456789")) - 1)</f>
        <v>T</v>
      </c>
      <c r="B101" s="1">
        <f t="shared" si="2"/>
        <v>122</v>
      </c>
      <c r="C101" s="1"/>
      <c r="D101" s="1">
        <f t="shared" si="3"/>
        <v>22</v>
      </c>
      <c r="E101" s="1" t="s">
        <v>1544</v>
      </c>
      <c r="F101" s="54" t="s">
        <v>160</v>
      </c>
      <c r="G101" s="59" t="s">
        <v>1545</v>
      </c>
    </row>
    <row r="102" spans="1:7" ht="24.95" customHeight="1">
      <c r="A102" s="5" t="str">
        <f t="array" ref="A102">LEFT(F102, MIN(FIND({0,1,2,3,4,5,6,7,8,9}, F102 &amp; "0123456789")) - 1)</f>
        <v>T</v>
      </c>
      <c r="B102" s="1">
        <f t="shared" si="2"/>
        <v>123</v>
      </c>
      <c r="C102" s="1"/>
      <c r="D102" s="1">
        <f t="shared" si="3"/>
        <v>23</v>
      </c>
      <c r="E102" s="1" t="s">
        <v>1546</v>
      </c>
      <c r="F102" s="54" t="s">
        <v>164</v>
      </c>
      <c r="G102" s="59" t="s">
        <v>1547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0</v>
      </c>
      <c r="C103" s="1"/>
      <c r="D103" s="1">
        <f t="shared" si="3"/>
        <v>13</v>
      </c>
      <c r="E103" s="1" t="s">
        <v>1434</v>
      </c>
      <c r="F103" s="54" t="s">
        <v>769</v>
      </c>
      <c r="G103" s="59" t="s">
        <v>1435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0.1</v>
      </c>
      <c r="C104" s="1"/>
      <c r="D104" s="1">
        <f t="shared" si="3"/>
        <v>18</v>
      </c>
      <c r="E104" s="1" t="s">
        <v>932</v>
      </c>
      <c r="F104" s="54" t="s">
        <v>557</v>
      </c>
      <c r="G104" s="59" t="s">
        <v>770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0.2</v>
      </c>
      <c r="C105" s="1"/>
      <c r="D105" s="1">
        <f t="shared" si="3"/>
        <v>19</v>
      </c>
      <c r="E105" s="38" t="s">
        <v>933</v>
      </c>
      <c r="F105" s="1" t="s">
        <v>558</v>
      </c>
      <c r="G105" s="25" t="s">
        <v>771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0.3</v>
      </c>
      <c r="C106" s="1"/>
      <c r="D106" s="1">
        <f t="shared" si="3"/>
        <v>18</v>
      </c>
      <c r="E106" s="38" t="s">
        <v>934</v>
      </c>
      <c r="F106" s="1" t="s">
        <v>559</v>
      </c>
      <c r="G106" s="35" t="s">
        <v>772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0.4</v>
      </c>
      <c r="C107" s="1"/>
      <c r="D107" s="1">
        <f t="shared" si="3"/>
        <v>21</v>
      </c>
      <c r="E107" s="1" t="s">
        <v>1436</v>
      </c>
      <c r="F107" s="1" t="s">
        <v>560</v>
      </c>
      <c r="G107" s="25" t="s">
        <v>1437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0.5</v>
      </c>
      <c r="C108" s="1"/>
      <c r="D108" s="1">
        <f t="shared" si="3"/>
        <v>11</v>
      </c>
      <c r="E108" s="1" t="s">
        <v>773</v>
      </c>
      <c r="F108" s="1" t="s">
        <v>561</v>
      </c>
      <c r="G108" s="25" t="s">
        <v>774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0.6</v>
      </c>
      <c r="C109" s="1"/>
      <c r="D109" s="1">
        <f t="shared" si="3"/>
        <v>9</v>
      </c>
      <c r="E109" s="1" t="s">
        <v>935</v>
      </c>
      <c r="F109" s="1" t="s">
        <v>562</v>
      </c>
      <c r="G109" s="25" t="s">
        <v>775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0.7</v>
      </c>
      <c r="C110" s="1"/>
      <c r="D110" s="1">
        <f t="shared" si="3"/>
        <v>10</v>
      </c>
      <c r="E110" s="1" t="s">
        <v>776</v>
      </c>
      <c r="F110" s="7" t="s">
        <v>563</v>
      </c>
      <c r="G110" s="25" t="s">
        <v>777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</v>
      </c>
      <c r="C111" s="1"/>
      <c r="D111" s="1">
        <f t="shared" si="3"/>
        <v>11</v>
      </c>
      <c r="E111" s="38" t="s">
        <v>778</v>
      </c>
      <c r="F111" s="1" t="s">
        <v>779</v>
      </c>
      <c r="G111" s="25" t="s">
        <v>780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1.1000000000000001</v>
      </c>
      <c r="C112" s="1"/>
      <c r="D112" s="1">
        <f t="shared" si="3"/>
        <v>17</v>
      </c>
      <c r="E112" s="1" t="s">
        <v>781</v>
      </c>
      <c r="F112" s="1" t="s">
        <v>564</v>
      </c>
      <c r="G112" s="25" t="s">
        <v>782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2</v>
      </c>
      <c r="C113" s="1"/>
      <c r="D113" s="1">
        <f t="shared" si="3"/>
        <v>11</v>
      </c>
      <c r="E113" s="1" t="s">
        <v>1438</v>
      </c>
      <c r="F113" s="38" t="s">
        <v>783</v>
      </c>
      <c r="G113" s="25" t="s">
        <v>1439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2.1</v>
      </c>
      <c r="C114" s="1"/>
      <c r="D114" s="1">
        <f t="shared" si="3"/>
        <v>14</v>
      </c>
      <c r="E114" s="1" t="s">
        <v>1440</v>
      </c>
      <c r="F114" s="38" t="s">
        <v>571</v>
      </c>
      <c r="G114" s="25" t="s">
        <v>1241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2.2000000000000002</v>
      </c>
      <c r="C115" s="1"/>
      <c r="D115" s="1">
        <f t="shared" si="3"/>
        <v>11</v>
      </c>
      <c r="E115" s="1" t="s">
        <v>1441</v>
      </c>
      <c r="F115" s="38" t="s">
        <v>572</v>
      </c>
      <c r="G115" s="25" t="s">
        <v>785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2.2999999999999998</v>
      </c>
      <c r="C116" s="1"/>
      <c r="D116" s="1">
        <f t="shared" si="3"/>
        <v>10</v>
      </c>
      <c r="E116" s="1" t="s">
        <v>786</v>
      </c>
      <c r="F116" s="38" t="s">
        <v>573</v>
      </c>
      <c r="G116" s="25" t="s">
        <v>787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2.4</v>
      </c>
      <c r="C117" s="1"/>
      <c r="D117" s="1">
        <f t="shared" si="3"/>
        <v>17</v>
      </c>
      <c r="E117" s="1" t="s">
        <v>1242</v>
      </c>
      <c r="F117" s="38" t="s">
        <v>574</v>
      </c>
      <c r="G117" s="33" t="s">
        <v>788</v>
      </c>
    </row>
    <row r="118" spans="1:7" ht="24.95" customHeight="1">
      <c r="A118" s="5" t="str">
        <f t="array" ref="A118">LEFT(F118, MIN(FIND({0,1,2,3,4,5,6,7,8,9}, F118 &amp; "0123456789")) - 1)</f>
        <v>V</v>
      </c>
      <c r="B118" s="1">
        <f t="shared" si="2"/>
        <v>2.5</v>
      </c>
      <c r="C118" s="1"/>
      <c r="D118" s="1">
        <f t="shared" si="3"/>
        <v>15</v>
      </c>
      <c r="E118" s="1" t="s">
        <v>1243</v>
      </c>
      <c r="F118" s="1" t="s">
        <v>575</v>
      </c>
      <c r="G118" s="25" t="s">
        <v>789</v>
      </c>
    </row>
    <row r="119" spans="1:7" ht="24.95" customHeight="1">
      <c r="A119" s="5" t="str">
        <f t="array" ref="A119">LEFT(F119, MIN(FIND({0,1,2,3,4,5,6,7,8,9}, F119 &amp; "0123456789")) - 1)</f>
        <v>V</v>
      </c>
      <c r="B119" s="1">
        <f t="shared" si="2"/>
        <v>2.6</v>
      </c>
      <c r="C119" s="1"/>
      <c r="D119" s="1">
        <f t="shared" si="3"/>
        <v>16</v>
      </c>
      <c r="E119" s="1" t="s">
        <v>1244</v>
      </c>
      <c r="F119" s="1" t="s">
        <v>576</v>
      </c>
      <c r="G119" s="25" t="s">
        <v>87</v>
      </c>
    </row>
    <row r="120" spans="1:7" ht="24.95" customHeight="1">
      <c r="A120" s="5" t="str">
        <f t="array" ref="A120">LEFT(F120, MIN(FIND({0,1,2,3,4,5,6,7,8,9}, F120 &amp; "0123456789")) - 1)</f>
        <v>V</v>
      </c>
      <c r="B120" s="1">
        <f t="shared" si="2"/>
        <v>2.7</v>
      </c>
      <c r="C120" s="1"/>
      <c r="D120" s="1">
        <f t="shared" si="3"/>
        <v>14</v>
      </c>
      <c r="E120" s="1" t="s">
        <v>1442</v>
      </c>
      <c r="F120" s="1" t="s">
        <v>577</v>
      </c>
      <c r="G120" s="25" t="s">
        <v>791</v>
      </c>
    </row>
    <row r="121" spans="1:7" ht="24.95" customHeight="1">
      <c r="A121" s="5" t="str">
        <f t="array" ref="A121">LEFT(F121, MIN(FIND({0,1,2,3,4,5,6,7,8,9}, F121 &amp; "0123456789")) - 1)</f>
        <v>V</v>
      </c>
      <c r="B121" s="1">
        <f t="shared" si="2"/>
        <v>1620</v>
      </c>
      <c r="C121" s="1"/>
      <c r="D121" s="1">
        <f t="shared" si="3"/>
        <v>21</v>
      </c>
      <c r="E121" s="1" t="s">
        <v>1356</v>
      </c>
      <c r="F121" s="1" t="s">
        <v>1443</v>
      </c>
      <c r="G121" s="25" t="s">
        <v>1357</v>
      </c>
    </row>
    <row r="122" spans="1:7" ht="24.95" customHeight="1">
      <c r="A122" s="5" t="str">
        <f t="array" ref="A122">LEFT(F122, MIN(FIND({0,1,2,3,4,5,6,7,8,9}, F122 &amp; "0123456789")) - 1)</f>
        <v>V</v>
      </c>
      <c r="B122" s="1">
        <f t="shared" si="2"/>
        <v>1620.1</v>
      </c>
      <c r="C122" s="1"/>
      <c r="D122" s="1">
        <f t="shared" si="3"/>
        <v>20</v>
      </c>
      <c r="E122" s="1" t="s">
        <v>1358</v>
      </c>
      <c r="F122" s="1" t="s">
        <v>1347</v>
      </c>
      <c r="G122" s="25" t="s">
        <v>978</v>
      </c>
    </row>
    <row r="123" spans="1:7" ht="24.95" customHeight="1">
      <c r="A123" s="5" t="str">
        <f t="array" ref="A123">LEFT(F123, MIN(FIND({0,1,2,3,4,5,6,7,8,9}, F123 &amp; "0123456789")) - 1)</f>
        <v>V</v>
      </c>
      <c r="B123" s="1">
        <f t="shared" si="2"/>
        <v>1620.2</v>
      </c>
      <c r="C123" s="1"/>
      <c r="D123" s="1">
        <f t="shared" si="3"/>
        <v>19</v>
      </c>
      <c r="E123" s="1" t="s">
        <v>1359</v>
      </c>
      <c r="F123" s="1" t="s">
        <v>1348</v>
      </c>
      <c r="G123" s="25" t="s">
        <v>979</v>
      </c>
    </row>
    <row r="124" spans="1:7" ht="24.95" customHeight="1">
      <c r="A124" s="5" t="str">
        <f t="array" ref="A124">LEFT(F124, MIN(FIND({0,1,2,3,4,5,6,7,8,9}, F124 &amp; "0123456789")) - 1)</f>
        <v>V</v>
      </c>
      <c r="B124" s="1">
        <f t="shared" si="2"/>
        <v>1620.3</v>
      </c>
      <c r="C124" s="1">
        <v>300</v>
      </c>
      <c r="D124" s="1">
        <f t="shared" si="3"/>
        <v>20</v>
      </c>
      <c r="E124" s="1" t="s">
        <v>1360</v>
      </c>
      <c r="F124" s="1" t="s">
        <v>1349</v>
      </c>
      <c r="G124" s="25" t="s">
        <v>980</v>
      </c>
    </row>
    <row r="125" spans="1:7" ht="24.95" customHeight="1">
      <c r="A125" s="5" t="str">
        <f t="array" ref="A125">LEFT(F125, MIN(FIND({0,1,2,3,4,5,6,7,8,9}, F125 &amp; "0123456789")) - 1)</f>
        <v>V</v>
      </c>
      <c r="B125" s="1">
        <f t="shared" si="2"/>
        <v>1620.4</v>
      </c>
      <c r="C125" s="1"/>
      <c r="D125" s="1">
        <f t="shared" si="3"/>
        <v>21</v>
      </c>
      <c r="E125" s="38" t="s">
        <v>1361</v>
      </c>
      <c r="F125" s="1" t="s">
        <v>1350</v>
      </c>
      <c r="G125" s="25" t="s">
        <v>1444</v>
      </c>
    </row>
    <row r="126" spans="1:7" ht="24.95" customHeight="1">
      <c r="A126" s="5" t="str">
        <f t="array" ref="A126">LEFT(F126, MIN(FIND({0,1,2,3,4,5,6,7,8,9}, F126 &amp; "0123456789")) - 1)</f>
        <v>V</v>
      </c>
      <c r="B126" s="1">
        <f t="shared" si="2"/>
        <v>1620.5</v>
      </c>
      <c r="C126" s="1">
        <v>360</v>
      </c>
      <c r="D126" s="1">
        <f t="shared" si="3"/>
        <v>16</v>
      </c>
      <c r="E126" s="1" t="s">
        <v>981</v>
      </c>
      <c r="F126" s="1" t="s">
        <v>1351</v>
      </c>
      <c r="G126" s="25" t="s">
        <v>1445</v>
      </c>
    </row>
    <row r="127" spans="1:7" ht="24.95" customHeight="1">
      <c r="A127" s="5" t="str">
        <f t="array" ref="A127">LEFT(F127, MIN(FIND({0,1,2,3,4,5,6,7,8,9}, F127 &amp; "0123456789")) - 1)</f>
        <v>V</v>
      </c>
      <c r="B127" s="1">
        <f t="shared" si="2"/>
        <v>1620.6</v>
      </c>
      <c r="C127" s="1">
        <v>364</v>
      </c>
      <c r="D127" s="1">
        <f t="shared" si="3"/>
        <v>17</v>
      </c>
      <c r="E127" s="1" t="s">
        <v>982</v>
      </c>
      <c r="F127" s="1" t="s">
        <v>1352</v>
      </c>
      <c r="G127" s="25" t="s">
        <v>1446</v>
      </c>
    </row>
    <row r="128" spans="1:7" ht="24.95" customHeight="1">
      <c r="A128" s="5" t="str">
        <f t="array" ref="A128">LEFT(F128, MIN(FIND({0,1,2,3,4,5,6,7,8,9}, F128 &amp; "0123456789")) - 1)</f>
        <v>V</v>
      </c>
      <c r="B128" s="1">
        <f t="shared" si="2"/>
        <v>1620.7</v>
      </c>
      <c r="C128" s="1">
        <v>368</v>
      </c>
      <c r="D128" s="1">
        <f t="shared" si="3"/>
        <v>18</v>
      </c>
      <c r="E128" s="1" t="s">
        <v>983</v>
      </c>
      <c r="F128" s="1" t="s">
        <v>1353</v>
      </c>
      <c r="G128" s="25" t="s">
        <v>1447</v>
      </c>
    </row>
    <row r="129" spans="1:7" ht="24.95" customHeight="1">
      <c r="A129" s="5" t="str">
        <f t="array" ref="A129">LEFT(F129, MIN(FIND({0,1,2,3,4,5,6,7,8,9}, F129 &amp; "0123456789")) - 1)</f>
        <v>V</v>
      </c>
      <c r="B129" s="1">
        <f t="shared" si="2"/>
        <v>1621</v>
      </c>
      <c r="C129" s="1">
        <v>372</v>
      </c>
      <c r="D129" s="1">
        <f t="shared" si="3"/>
        <v>19</v>
      </c>
      <c r="E129" s="1" t="s">
        <v>984</v>
      </c>
      <c r="F129" s="1" t="s">
        <v>1354</v>
      </c>
      <c r="G129" s="25" t="s">
        <v>1448</v>
      </c>
    </row>
    <row r="130" spans="1:7" ht="24.95" customHeight="1">
      <c r="A130" s="5" t="str">
        <f t="array" ref="A130">LEFT(F130, MIN(FIND({0,1,2,3,4,5,6,7,8,9}, F130 &amp; "0123456789")) - 1)</f>
        <v>V</v>
      </c>
      <c r="B130" s="1">
        <f t="shared" ref="B130:B193" si="4">VALUE(RIGHT(F130,LEN(F130)-LEN(A130)))</f>
        <v>1621.1</v>
      </c>
      <c r="C130" s="1">
        <v>304</v>
      </c>
      <c r="D130" s="1">
        <f t="shared" ref="D130:D193" si="5">LEN(E130)</f>
        <v>21</v>
      </c>
      <c r="E130" s="1" t="s">
        <v>985</v>
      </c>
      <c r="F130" s="1" t="s">
        <v>1355</v>
      </c>
      <c r="G130" s="25" t="s">
        <v>1449</v>
      </c>
    </row>
    <row r="131" spans="1:7" ht="24.95" customHeight="1">
      <c r="A131" s="5" t="str">
        <f t="array" ref="A131">LEFT(F131, MIN(FIND({0,1,2,3,4,5,6,7,8,9}, F131 &amp; "0123456789")) - 1)</f>
        <v>VB</v>
      </c>
      <c r="B131" s="1">
        <f t="shared" si="4"/>
        <v>800</v>
      </c>
      <c r="C131" s="1">
        <v>376</v>
      </c>
      <c r="D131" s="1">
        <f t="shared" si="5"/>
        <v>15</v>
      </c>
      <c r="E131" s="1" t="s">
        <v>1117</v>
      </c>
      <c r="F131" s="7" t="s">
        <v>1118</v>
      </c>
      <c r="G131" s="25" t="s">
        <v>1119</v>
      </c>
    </row>
    <row r="132" spans="1:7" ht="24.95" customHeight="1">
      <c r="A132" s="5" t="str">
        <f t="array" ref="A132">LEFT(F132, MIN(FIND({0,1,2,3,4,5,6,7,8,9}, F132 &amp; "0123456789")) - 1)</f>
        <v>VB</v>
      </c>
      <c r="B132" s="1">
        <f t="shared" si="4"/>
        <v>802</v>
      </c>
      <c r="C132" s="1">
        <v>380</v>
      </c>
      <c r="D132" s="1">
        <f t="shared" si="5"/>
        <v>17</v>
      </c>
      <c r="E132" s="1" t="s">
        <v>1120</v>
      </c>
      <c r="F132" s="1" t="s">
        <v>1122</v>
      </c>
      <c r="G132" s="25" t="s">
        <v>751</v>
      </c>
    </row>
    <row r="133" spans="1:7" ht="24.95" customHeight="1">
      <c r="A133" s="5" t="str">
        <f t="array" ref="A133">LEFT(F133, MIN(FIND({0,1,2,3,4,5,6,7,8,9}, F133 &amp; "0123456789")) - 1)</f>
        <v>VB</v>
      </c>
      <c r="B133" s="1">
        <f t="shared" si="4"/>
        <v>804</v>
      </c>
      <c r="C133" s="1">
        <v>384</v>
      </c>
      <c r="D133" s="1">
        <f t="shared" si="5"/>
        <v>18</v>
      </c>
      <c r="E133" s="1" t="s">
        <v>1121</v>
      </c>
      <c r="F133" s="1" t="s">
        <v>1124</v>
      </c>
      <c r="G133" s="25" t="s">
        <v>752</v>
      </c>
    </row>
    <row r="134" spans="1:7" ht="24.95" customHeight="1">
      <c r="A134" s="5" t="str">
        <f t="array" ref="A134">LEFT(F134, MIN(FIND({0,1,2,3,4,5,6,7,8,9}, F134 &amp; "0123456789")) - 1)</f>
        <v>VB</v>
      </c>
      <c r="B134" s="1">
        <f t="shared" si="4"/>
        <v>806</v>
      </c>
      <c r="C134" s="1">
        <v>388</v>
      </c>
      <c r="D134" s="1">
        <f t="shared" si="5"/>
        <v>15</v>
      </c>
      <c r="E134" s="1" t="s">
        <v>1123</v>
      </c>
      <c r="F134" s="1" t="s">
        <v>1126</v>
      </c>
      <c r="G134" s="25" t="s">
        <v>1125</v>
      </c>
    </row>
    <row r="135" spans="1:7" ht="24.95" customHeight="1">
      <c r="A135" s="5" t="str">
        <f t="array" ref="A135">LEFT(F135, MIN(FIND({0,1,2,3,4,5,6,7,8,9}, F135 &amp; "0123456789")) - 1)</f>
        <v>VB</v>
      </c>
      <c r="B135" s="1">
        <f t="shared" si="4"/>
        <v>808</v>
      </c>
      <c r="C135" s="1">
        <v>392</v>
      </c>
      <c r="D135" s="1">
        <f t="shared" si="5"/>
        <v>13</v>
      </c>
      <c r="E135" s="1" t="s">
        <v>1245</v>
      </c>
      <c r="F135" s="1" t="s">
        <v>1129</v>
      </c>
      <c r="G135" s="25" t="s">
        <v>1127</v>
      </c>
    </row>
    <row r="136" spans="1:7" ht="24.95" customHeight="1">
      <c r="A136" s="5" t="str">
        <f t="array" ref="A136">LEFT(F136, MIN(FIND({0,1,2,3,4,5,6,7,8,9}, F136 &amp; "0123456789")) - 1)</f>
        <v>VB</v>
      </c>
      <c r="B136" s="1">
        <f t="shared" si="4"/>
        <v>810</v>
      </c>
      <c r="C136" s="1">
        <v>396</v>
      </c>
      <c r="D136" s="1">
        <f t="shared" si="5"/>
        <v>18</v>
      </c>
      <c r="E136" s="1" t="s">
        <v>1128</v>
      </c>
      <c r="F136" s="1" t="s">
        <v>1277</v>
      </c>
      <c r="G136" s="25" t="s">
        <v>1130</v>
      </c>
    </row>
    <row r="137" spans="1:7" ht="24.95" customHeight="1">
      <c r="A137" s="5" t="str">
        <f t="array" ref="A137">LEFT(F137, MIN(FIND({0,1,2,3,4,5,6,7,8,9}, F137 &amp; "0123456789")) - 1)</f>
        <v>VB</v>
      </c>
      <c r="B137" s="1">
        <f t="shared" si="4"/>
        <v>812</v>
      </c>
      <c r="C137" s="1"/>
      <c r="D137" s="1">
        <f t="shared" si="5"/>
        <v>22</v>
      </c>
      <c r="E137" s="38" t="s">
        <v>1548</v>
      </c>
      <c r="F137" s="7" t="s">
        <v>1549</v>
      </c>
      <c r="G137" s="25" t="s">
        <v>1550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20</v>
      </c>
      <c r="C138" s="1">
        <v>400</v>
      </c>
      <c r="D138" s="1">
        <f t="shared" si="5"/>
        <v>19</v>
      </c>
      <c r="E138" s="1" t="s">
        <v>1284</v>
      </c>
      <c r="F138" s="1" t="s">
        <v>1131</v>
      </c>
      <c r="G138" s="25" t="s">
        <v>1285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24</v>
      </c>
      <c r="C139" s="1">
        <v>404</v>
      </c>
      <c r="D139" s="1">
        <f t="shared" si="5"/>
        <v>22</v>
      </c>
      <c r="E139" s="1" t="s">
        <v>987</v>
      </c>
      <c r="F139" s="1" t="s">
        <v>1132</v>
      </c>
      <c r="G139" s="25" t="s">
        <v>988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32</v>
      </c>
      <c r="C140" s="1">
        <v>408</v>
      </c>
      <c r="D140" s="1">
        <f t="shared" si="5"/>
        <v>23</v>
      </c>
      <c r="E140" s="1" t="s">
        <v>1270</v>
      </c>
      <c r="F140" s="7" t="s">
        <v>1133</v>
      </c>
      <c r="G140" s="25" t="s">
        <v>989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36</v>
      </c>
      <c r="C141" s="1">
        <v>308</v>
      </c>
      <c r="D141" s="1">
        <f t="shared" si="5"/>
        <v>23</v>
      </c>
      <c r="E141" s="1" t="s">
        <v>1271</v>
      </c>
      <c r="F141" s="1" t="s">
        <v>1134</v>
      </c>
      <c r="G141" s="25" t="s">
        <v>990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40</v>
      </c>
      <c r="C142" s="1">
        <v>412</v>
      </c>
      <c r="D142" s="1">
        <f t="shared" si="5"/>
        <v>20</v>
      </c>
      <c r="E142" s="1" t="s">
        <v>1450</v>
      </c>
      <c r="F142" s="1" t="s">
        <v>1135</v>
      </c>
      <c r="G142" s="25" t="s">
        <v>997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44</v>
      </c>
      <c r="C143" s="1">
        <v>416</v>
      </c>
      <c r="D143" s="1">
        <f t="shared" si="5"/>
        <v>20</v>
      </c>
      <c r="E143" s="1" t="s">
        <v>1451</v>
      </c>
      <c r="F143" s="1" t="s">
        <v>1136</v>
      </c>
      <c r="G143" s="25" t="s">
        <v>998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48</v>
      </c>
      <c r="C144" s="1">
        <v>420</v>
      </c>
      <c r="D144" s="1">
        <f t="shared" si="5"/>
        <v>19</v>
      </c>
      <c r="E144" s="1" t="s">
        <v>1272</v>
      </c>
      <c r="F144" s="1" t="s">
        <v>1137</v>
      </c>
      <c r="G144" s="25" t="s">
        <v>1138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52</v>
      </c>
      <c r="C145" s="1">
        <v>424</v>
      </c>
      <c r="D145" s="1">
        <f t="shared" si="5"/>
        <v>19</v>
      </c>
      <c r="E145" s="1" t="s">
        <v>1273</v>
      </c>
      <c r="F145" s="1" t="s">
        <v>1139</v>
      </c>
      <c r="G145" s="25" t="s">
        <v>1140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56</v>
      </c>
      <c r="C146" s="1">
        <v>428</v>
      </c>
      <c r="D146" s="1">
        <f t="shared" si="5"/>
        <v>14</v>
      </c>
      <c r="E146" s="1" t="s">
        <v>1141</v>
      </c>
      <c r="F146" s="1" t="s">
        <v>1142</v>
      </c>
      <c r="G146" s="25" t="s">
        <v>1143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60</v>
      </c>
      <c r="C147" s="1">
        <v>432</v>
      </c>
      <c r="D147" s="1">
        <f t="shared" si="5"/>
        <v>14</v>
      </c>
      <c r="E147" s="1" t="s">
        <v>1002</v>
      </c>
      <c r="F147" s="1" t="s">
        <v>1144</v>
      </c>
      <c r="G147" s="25" t="s">
        <v>162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64</v>
      </c>
      <c r="C148" s="1">
        <v>436</v>
      </c>
      <c r="D148" s="1">
        <f t="shared" si="5"/>
        <v>21</v>
      </c>
      <c r="E148" s="1" t="s">
        <v>1003</v>
      </c>
      <c r="F148" s="1" t="s">
        <v>1145</v>
      </c>
      <c r="G148" s="25" t="s">
        <v>1004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68</v>
      </c>
      <c r="C149" s="1"/>
      <c r="D149" s="1">
        <f t="shared" si="5"/>
        <v>21</v>
      </c>
      <c r="E149" s="38" t="s">
        <v>1005</v>
      </c>
      <c r="F149" s="1" t="s">
        <v>1146</v>
      </c>
      <c r="G149" s="33" t="s">
        <v>1006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72</v>
      </c>
      <c r="C150" s="1">
        <v>440</v>
      </c>
      <c r="D150" s="1">
        <f t="shared" si="5"/>
        <v>19</v>
      </c>
      <c r="E150" s="1" t="s">
        <v>1452</v>
      </c>
      <c r="F150" s="7" t="s">
        <v>1147</v>
      </c>
      <c r="G150" s="25" t="s">
        <v>1453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76</v>
      </c>
      <c r="C151" s="1">
        <v>444</v>
      </c>
      <c r="D151" s="1">
        <f t="shared" si="5"/>
        <v>19</v>
      </c>
      <c r="E151" s="1" t="s">
        <v>1007</v>
      </c>
      <c r="F151" s="1" t="s">
        <v>1148</v>
      </c>
      <c r="G151" s="25" t="s">
        <v>1008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80</v>
      </c>
      <c r="C152" s="1">
        <v>312</v>
      </c>
      <c r="D152" s="1">
        <f t="shared" si="5"/>
        <v>16</v>
      </c>
      <c r="E152" s="1" t="s">
        <v>1149</v>
      </c>
      <c r="F152" s="1" t="s">
        <v>1150</v>
      </c>
      <c r="G152" s="25" t="s">
        <v>1151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84</v>
      </c>
      <c r="C153" s="1">
        <v>448</v>
      </c>
      <c r="D153" s="1">
        <f t="shared" si="5"/>
        <v>15</v>
      </c>
      <c r="E153" s="1" t="s">
        <v>1009</v>
      </c>
      <c r="F153" s="1" t="s">
        <v>1152</v>
      </c>
      <c r="G153" s="25" t="s">
        <v>1010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88</v>
      </c>
      <c r="C154" s="1">
        <v>452</v>
      </c>
      <c r="D154" s="1">
        <f t="shared" si="5"/>
        <v>18</v>
      </c>
      <c r="E154" s="1" t="s">
        <v>986</v>
      </c>
      <c r="F154" s="1" t="s">
        <v>1286</v>
      </c>
      <c r="G154" s="25" t="s">
        <v>1287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92</v>
      </c>
      <c r="C155" s="1">
        <v>456</v>
      </c>
      <c r="D155" s="1">
        <f t="shared" si="5"/>
        <v>20</v>
      </c>
      <c r="E155" s="1" t="s">
        <v>1454</v>
      </c>
      <c r="F155" s="1" t="s">
        <v>1455</v>
      </c>
      <c r="G155" s="25" t="s">
        <v>1456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96</v>
      </c>
      <c r="C156" s="1">
        <v>460</v>
      </c>
      <c r="D156" s="1">
        <f t="shared" si="5"/>
        <v>20</v>
      </c>
      <c r="E156" s="1" t="s">
        <v>1457</v>
      </c>
      <c r="F156" s="1" t="s">
        <v>1458</v>
      </c>
      <c r="G156" s="25" t="s">
        <v>1459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100</v>
      </c>
      <c r="C157" s="1">
        <v>464</v>
      </c>
      <c r="D157" s="1">
        <f t="shared" si="5"/>
        <v>20</v>
      </c>
      <c r="E157" s="1" t="s">
        <v>1551</v>
      </c>
      <c r="F157" s="1" t="s">
        <v>1552</v>
      </c>
      <c r="G157" s="25" t="s">
        <v>1553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146</v>
      </c>
      <c r="C158" s="1">
        <v>468</v>
      </c>
      <c r="D158" s="1">
        <f t="shared" si="5"/>
        <v>20</v>
      </c>
      <c r="E158" s="1" t="s">
        <v>1554</v>
      </c>
      <c r="F158" s="1" t="s">
        <v>1555</v>
      </c>
      <c r="G158" s="25" t="s">
        <v>1556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150</v>
      </c>
      <c r="C159" s="1">
        <v>472</v>
      </c>
      <c r="D159" s="1">
        <f t="shared" si="5"/>
        <v>20</v>
      </c>
      <c r="E159" s="1" t="s">
        <v>1557</v>
      </c>
      <c r="F159" s="7" t="s">
        <v>1558</v>
      </c>
      <c r="G159" s="25" t="s">
        <v>1559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300</v>
      </c>
      <c r="C160" s="1">
        <v>476</v>
      </c>
      <c r="D160" s="1">
        <f t="shared" si="5"/>
        <v>22</v>
      </c>
      <c r="E160" s="5" t="s">
        <v>991</v>
      </c>
      <c r="F160" s="1" t="s">
        <v>660</v>
      </c>
      <c r="G160" s="25" t="s">
        <v>992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304</v>
      </c>
      <c r="C161" s="1"/>
      <c r="D161" s="1">
        <f t="shared" si="5"/>
        <v>22</v>
      </c>
      <c r="E161" s="38" t="s">
        <v>993</v>
      </c>
      <c r="F161" s="1" t="s">
        <v>661</v>
      </c>
      <c r="G161" s="25" t="s">
        <v>994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308</v>
      </c>
      <c r="C162" s="1">
        <v>480</v>
      </c>
      <c r="D162" s="1">
        <f t="shared" si="5"/>
        <v>20</v>
      </c>
      <c r="E162" s="5" t="s">
        <v>995</v>
      </c>
      <c r="F162" s="1" t="s">
        <v>1153</v>
      </c>
      <c r="G162" s="25" t="s">
        <v>996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312</v>
      </c>
      <c r="C163" s="1">
        <v>316</v>
      </c>
      <c r="D163" s="1">
        <f t="shared" si="5"/>
        <v>18</v>
      </c>
      <c r="E163" s="1" t="s">
        <v>999</v>
      </c>
      <c r="F163" s="1" t="s">
        <v>1154</v>
      </c>
      <c r="G163" s="25" t="s">
        <v>1155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316</v>
      </c>
      <c r="C164" s="1">
        <v>484</v>
      </c>
      <c r="D164" s="1">
        <f t="shared" si="5"/>
        <v>18</v>
      </c>
      <c r="E164" s="5" t="s">
        <v>1000</v>
      </c>
      <c r="F164" s="1" t="s">
        <v>1156</v>
      </c>
      <c r="G164" s="25" t="s">
        <v>1157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320</v>
      </c>
      <c r="C165" s="1">
        <v>488</v>
      </c>
      <c r="D165" s="1">
        <f t="shared" si="5"/>
        <v>21</v>
      </c>
      <c r="E165" s="5" t="s">
        <v>1274</v>
      </c>
      <c r="F165" s="1" t="s">
        <v>1158</v>
      </c>
      <c r="G165" s="25" t="s">
        <v>1159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324</v>
      </c>
      <c r="C166" s="1">
        <v>492</v>
      </c>
      <c r="D166" s="1">
        <f t="shared" si="5"/>
        <v>11</v>
      </c>
      <c r="E166" s="5" t="s">
        <v>1160</v>
      </c>
      <c r="F166" s="1" t="s">
        <v>1161</v>
      </c>
      <c r="G166" s="25" t="s">
        <v>1162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328</v>
      </c>
      <c r="C167" s="1">
        <v>496</v>
      </c>
      <c r="D167" s="1">
        <f t="shared" si="5"/>
        <v>11</v>
      </c>
      <c r="E167" s="5" t="s">
        <v>1163</v>
      </c>
      <c r="F167" s="1" t="s">
        <v>1164</v>
      </c>
      <c r="G167" s="25" t="s">
        <v>1165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332</v>
      </c>
      <c r="C168" s="1">
        <v>500</v>
      </c>
      <c r="D168" s="1">
        <f t="shared" si="5"/>
        <v>11</v>
      </c>
      <c r="E168" s="1" t="s">
        <v>1166</v>
      </c>
      <c r="F168" s="1" t="s">
        <v>1167</v>
      </c>
      <c r="G168" s="25" t="s">
        <v>1168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336</v>
      </c>
      <c r="C169" s="1">
        <v>504</v>
      </c>
      <c r="D169" s="1">
        <f t="shared" si="5"/>
        <v>12</v>
      </c>
      <c r="E169" s="1" t="s">
        <v>1001</v>
      </c>
      <c r="F169" s="1" t="s">
        <v>1169</v>
      </c>
      <c r="G169" s="25" t="s">
        <v>1170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340</v>
      </c>
      <c r="C170" s="1">
        <v>508</v>
      </c>
      <c r="D170" s="1">
        <f t="shared" si="5"/>
        <v>17</v>
      </c>
      <c r="E170" s="1" t="s">
        <v>1246</v>
      </c>
      <c r="F170" s="1" t="s">
        <v>1171</v>
      </c>
      <c r="G170" s="25" t="s">
        <v>176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344</v>
      </c>
      <c r="C171" s="1">
        <v>512</v>
      </c>
      <c r="D171" s="1">
        <f t="shared" si="5"/>
        <v>20</v>
      </c>
      <c r="E171" s="1" t="s">
        <v>1247</v>
      </c>
      <c r="F171" s="1" t="s">
        <v>1049</v>
      </c>
      <c r="G171" s="25" t="s">
        <v>1172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348</v>
      </c>
      <c r="C172" s="1">
        <v>516</v>
      </c>
      <c r="D172" s="1">
        <f t="shared" si="5"/>
        <v>22</v>
      </c>
      <c r="E172" s="1" t="s">
        <v>1248</v>
      </c>
      <c r="F172" s="1" t="s">
        <v>1050</v>
      </c>
      <c r="G172" s="25" t="s">
        <v>1173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352</v>
      </c>
      <c r="C173" s="1"/>
      <c r="D173" s="1">
        <f t="shared" si="5"/>
        <v>16</v>
      </c>
      <c r="E173" s="38" t="s">
        <v>876</v>
      </c>
      <c r="F173" s="1" t="s">
        <v>1051</v>
      </c>
      <c r="G173" s="25" t="s">
        <v>1013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356</v>
      </c>
      <c r="C174" s="1"/>
      <c r="D174" s="1">
        <f t="shared" si="5"/>
        <v>16</v>
      </c>
      <c r="E174" s="38" t="s">
        <v>877</v>
      </c>
      <c r="F174" s="1" t="s">
        <v>1052</v>
      </c>
      <c r="G174" s="25" t="s">
        <v>1014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360</v>
      </c>
      <c r="C175" s="1">
        <v>520</v>
      </c>
      <c r="D175" s="1">
        <f t="shared" si="5"/>
        <v>16</v>
      </c>
      <c r="E175" s="1" t="s">
        <v>878</v>
      </c>
      <c r="F175" s="1" t="s">
        <v>1053</v>
      </c>
      <c r="G175" s="25" t="s">
        <v>1015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364</v>
      </c>
      <c r="C176" s="1">
        <v>524</v>
      </c>
      <c r="D176" s="1">
        <f t="shared" si="5"/>
        <v>16</v>
      </c>
      <c r="E176" s="1" t="s">
        <v>879</v>
      </c>
      <c r="F176" s="1" t="s">
        <v>1054</v>
      </c>
      <c r="G176" s="25" t="s">
        <v>1016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368</v>
      </c>
      <c r="C177" s="1"/>
      <c r="D177" s="1">
        <f t="shared" si="5"/>
        <v>16</v>
      </c>
      <c r="E177" s="1" t="s">
        <v>880</v>
      </c>
      <c r="F177" s="1" t="s">
        <v>1055</v>
      </c>
      <c r="G177" s="25" t="s">
        <v>1017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372</v>
      </c>
      <c r="C178" s="1"/>
      <c r="D178" s="1">
        <f t="shared" si="5"/>
        <v>16</v>
      </c>
      <c r="E178" s="1" t="s">
        <v>881</v>
      </c>
      <c r="F178" s="7" t="s">
        <v>1056</v>
      </c>
      <c r="G178" s="25" t="s">
        <v>1018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376</v>
      </c>
      <c r="C179" s="1"/>
      <c r="D179" s="1">
        <f t="shared" si="5"/>
        <v>16</v>
      </c>
      <c r="E179" s="1" t="s">
        <v>882</v>
      </c>
      <c r="F179" s="1" t="s">
        <v>1057</v>
      </c>
      <c r="G179" s="25" t="s">
        <v>1019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380</v>
      </c>
      <c r="C180" s="1">
        <v>640</v>
      </c>
      <c r="D180" s="1">
        <f t="shared" si="5"/>
        <v>16</v>
      </c>
      <c r="E180" s="1" t="s">
        <v>883</v>
      </c>
      <c r="F180" s="1" t="s">
        <v>1058</v>
      </c>
      <c r="G180" s="25" t="s">
        <v>1020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384</v>
      </c>
      <c r="C181" s="1">
        <v>644</v>
      </c>
      <c r="D181" s="1">
        <f t="shared" si="5"/>
        <v>16</v>
      </c>
      <c r="E181" s="1" t="s">
        <v>884</v>
      </c>
      <c r="F181" s="1" t="s">
        <v>1059</v>
      </c>
      <c r="G181" s="25" t="s">
        <v>1021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388</v>
      </c>
      <c r="C182" s="1">
        <v>648</v>
      </c>
      <c r="D182" s="1">
        <f t="shared" si="5"/>
        <v>17</v>
      </c>
      <c r="E182" s="1" t="s">
        <v>885</v>
      </c>
      <c r="F182" s="1" t="s">
        <v>1060</v>
      </c>
      <c r="G182" s="25" t="s">
        <v>1022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392</v>
      </c>
      <c r="C183" s="1">
        <v>652</v>
      </c>
      <c r="D183" s="1">
        <f t="shared" si="5"/>
        <v>17</v>
      </c>
      <c r="E183" s="5" t="s">
        <v>886</v>
      </c>
      <c r="F183" s="1" t="s">
        <v>1061</v>
      </c>
      <c r="G183" s="25" t="s">
        <v>1023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396</v>
      </c>
      <c r="C184" s="1">
        <v>68</v>
      </c>
      <c r="D184" s="1">
        <f t="shared" si="5"/>
        <v>17</v>
      </c>
      <c r="E184" s="1" t="s">
        <v>887</v>
      </c>
      <c r="F184" s="1" t="s">
        <v>1062</v>
      </c>
      <c r="G184" s="25" t="s">
        <v>1024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400</v>
      </c>
      <c r="C185" s="1">
        <v>320</v>
      </c>
      <c r="D185" s="1">
        <f t="shared" si="5"/>
        <v>17</v>
      </c>
      <c r="E185" s="38" t="s">
        <v>888</v>
      </c>
      <c r="F185" s="7" t="s">
        <v>1063</v>
      </c>
      <c r="G185" s="25" t="s">
        <v>1025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404</v>
      </c>
      <c r="C186" s="1">
        <v>72</v>
      </c>
      <c r="D186" s="1">
        <f t="shared" si="5"/>
        <v>17</v>
      </c>
      <c r="E186" s="1" t="s">
        <v>889</v>
      </c>
      <c r="F186" s="1" t="s">
        <v>1064</v>
      </c>
      <c r="G186" s="25" t="s">
        <v>1026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408</v>
      </c>
      <c r="C187" s="1">
        <v>76</v>
      </c>
      <c r="D187" s="1">
        <f t="shared" si="5"/>
        <v>17</v>
      </c>
      <c r="E187" s="1" t="s">
        <v>890</v>
      </c>
      <c r="F187" s="1" t="s">
        <v>1065</v>
      </c>
      <c r="G187" s="25" t="s">
        <v>1027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412</v>
      </c>
      <c r="C188" s="1">
        <v>324</v>
      </c>
      <c r="D188" s="1">
        <f t="shared" si="5"/>
        <v>17</v>
      </c>
      <c r="E188" s="1" t="s">
        <v>891</v>
      </c>
      <c r="F188" s="7" t="s">
        <v>1066</v>
      </c>
      <c r="G188" s="25" t="s">
        <v>1028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416</v>
      </c>
      <c r="C189" s="1">
        <v>328</v>
      </c>
      <c r="D189" s="1">
        <f t="shared" si="5"/>
        <v>17</v>
      </c>
      <c r="E189" s="1" t="s">
        <v>892</v>
      </c>
      <c r="F189" s="1" t="s">
        <v>1067</v>
      </c>
      <c r="G189" s="25" t="s">
        <v>1029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420</v>
      </c>
      <c r="C190" s="1">
        <v>332</v>
      </c>
      <c r="D190" s="1">
        <f t="shared" si="5"/>
        <v>17</v>
      </c>
      <c r="E190" s="1" t="s">
        <v>893</v>
      </c>
      <c r="F190" s="1" t="s">
        <v>1068</v>
      </c>
      <c r="G190" s="25" t="s">
        <v>1030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424</v>
      </c>
      <c r="C191" s="1">
        <v>336</v>
      </c>
      <c r="D191" s="1">
        <f t="shared" si="5"/>
        <v>20</v>
      </c>
      <c r="E191" s="1" t="s">
        <v>1249</v>
      </c>
      <c r="F191" s="1" t="s">
        <v>1069</v>
      </c>
      <c r="G191" s="25" t="s">
        <v>1174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428</v>
      </c>
      <c r="C192" s="1">
        <v>340</v>
      </c>
      <c r="D192" s="1">
        <f t="shared" si="5"/>
        <v>22</v>
      </c>
      <c r="E192" s="1" t="s">
        <v>1250</v>
      </c>
      <c r="F192" s="1" t="s">
        <v>1070</v>
      </c>
      <c r="G192" s="25" t="s">
        <v>1175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432</v>
      </c>
      <c r="C193" s="1">
        <v>344</v>
      </c>
      <c r="D193" s="1">
        <f t="shared" si="5"/>
        <v>16</v>
      </c>
      <c r="E193" s="1" t="s">
        <v>894</v>
      </c>
      <c r="F193" s="7" t="s">
        <v>1071</v>
      </c>
      <c r="G193" s="25" t="s">
        <v>1031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57" si="6">VALUE(RIGHT(F194,LEN(F194)-LEN(A194)))</f>
        <v>436</v>
      </c>
      <c r="C194" s="1">
        <v>348</v>
      </c>
      <c r="D194" s="1">
        <f t="shared" ref="D194:D257" si="7">LEN(E194)</f>
        <v>16</v>
      </c>
      <c r="E194" s="1" t="s">
        <v>895</v>
      </c>
      <c r="F194" s="1" t="s">
        <v>1072</v>
      </c>
      <c r="G194" s="25" t="s">
        <v>1032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440</v>
      </c>
      <c r="C195" s="1">
        <v>352</v>
      </c>
      <c r="D195" s="1">
        <f t="shared" si="7"/>
        <v>16</v>
      </c>
      <c r="E195" s="1" t="s">
        <v>896</v>
      </c>
      <c r="F195" s="1" t="s">
        <v>1073</v>
      </c>
      <c r="G195" s="25" t="s">
        <v>1033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444</v>
      </c>
      <c r="C196" s="1">
        <v>356</v>
      </c>
      <c r="D196" s="1">
        <f t="shared" si="7"/>
        <v>16</v>
      </c>
      <c r="E196" s="1" t="s">
        <v>897</v>
      </c>
      <c r="F196" s="1" t="s">
        <v>1074</v>
      </c>
      <c r="G196" s="25" t="s">
        <v>1034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448</v>
      </c>
      <c r="C197" s="1"/>
      <c r="D197" s="1">
        <f t="shared" si="7"/>
        <v>16</v>
      </c>
      <c r="E197" s="1" t="s">
        <v>898</v>
      </c>
      <c r="F197" s="1" t="s">
        <v>1075</v>
      </c>
      <c r="G197" s="33" t="s">
        <v>1035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452</v>
      </c>
      <c r="C198" s="1"/>
      <c r="D198" s="1">
        <f t="shared" si="7"/>
        <v>16</v>
      </c>
      <c r="E198" s="1" t="s">
        <v>899</v>
      </c>
      <c r="F198" s="1" t="s">
        <v>1076</v>
      </c>
      <c r="G198" s="25" t="s">
        <v>1036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456</v>
      </c>
      <c r="C199" s="1"/>
      <c r="D199" s="1">
        <f t="shared" si="7"/>
        <v>16</v>
      </c>
      <c r="E199" s="1" t="s">
        <v>900</v>
      </c>
      <c r="F199" s="1" t="s">
        <v>1077</v>
      </c>
      <c r="G199" s="25" t="s">
        <v>1037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460</v>
      </c>
      <c r="C200" s="1"/>
      <c r="D200" s="1">
        <f t="shared" si="7"/>
        <v>16</v>
      </c>
      <c r="E200" s="1" t="s">
        <v>901</v>
      </c>
      <c r="F200" s="1" t="s">
        <v>1078</v>
      </c>
      <c r="G200" s="25" t="s">
        <v>1038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464</v>
      </c>
      <c r="C201" s="1"/>
      <c r="D201" s="1">
        <f t="shared" si="7"/>
        <v>16</v>
      </c>
      <c r="E201" s="1" t="s">
        <v>902</v>
      </c>
      <c r="F201" s="1" t="s">
        <v>1079</v>
      </c>
      <c r="G201" s="59" t="s">
        <v>1039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468</v>
      </c>
      <c r="C202" s="1"/>
      <c r="D202" s="1">
        <f t="shared" si="7"/>
        <v>17</v>
      </c>
      <c r="E202" s="1" t="s">
        <v>903</v>
      </c>
      <c r="F202" s="1" t="s">
        <v>1080</v>
      </c>
      <c r="G202" s="25" t="s">
        <v>1040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472</v>
      </c>
      <c r="C203" s="1"/>
      <c r="D203" s="1">
        <f t="shared" si="7"/>
        <v>17</v>
      </c>
      <c r="E203" s="1" t="s">
        <v>904</v>
      </c>
      <c r="F203" s="1" t="s">
        <v>1081</v>
      </c>
      <c r="G203" s="25" t="s">
        <v>1041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476</v>
      </c>
      <c r="C204" s="1"/>
      <c r="D204" s="1">
        <f t="shared" si="7"/>
        <v>17</v>
      </c>
      <c r="E204" s="1" t="s">
        <v>905</v>
      </c>
      <c r="F204" s="1" t="s">
        <v>1082</v>
      </c>
      <c r="G204" s="25" t="s">
        <v>1042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480</v>
      </c>
      <c r="C205" s="1"/>
      <c r="D205" s="1">
        <f t="shared" si="7"/>
        <v>17</v>
      </c>
      <c r="E205" s="1" t="s">
        <v>906</v>
      </c>
      <c r="F205" s="1" t="s">
        <v>1083</v>
      </c>
      <c r="G205" s="25" t="s">
        <v>1043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484</v>
      </c>
      <c r="C206" s="1"/>
      <c r="D206" s="1">
        <f t="shared" si="7"/>
        <v>17</v>
      </c>
      <c r="E206" s="38" t="s">
        <v>907</v>
      </c>
      <c r="F206" s="1" t="s">
        <v>1084</v>
      </c>
      <c r="G206" s="25" t="s">
        <v>1044</v>
      </c>
    </row>
    <row r="207" spans="1:7" ht="24.95" customHeight="1">
      <c r="A207" s="5" t="str">
        <f t="array" ref="A207">LEFT(F207, MIN(FIND({0,1,2,3,4,5,6,7,8,9}, F207 &amp; "0123456789")) - 1)</f>
        <v>VD</v>
      </c>
      <c r="B207" s="1">
        <f t="shared" si="6"/>
        <v>488</v>
      </c>
      <c r="C207" s="1"/>
      <c r="D207" s="1">
        <f t="shared" si="7"/>
        <v>17</v>
      </c>
      <c r="E207" s="38" t="s">
        <v>908</v>
      </c>
      <c r="F207" s="38" t="s">
        <v>1085</v>
      </c>
      <c r="G207" s="25" t="s">
        <v>1045</v>
      </c>
    </row>
    <row r="208" spans="1:7" ht="24.95" customHeight="1">
      <c r="A208" s="5" t="str">
        <f t="array" ref="A208">LEFT(F208, MIN(FIND({0,1,2,3,4,5,6,7,8,9}, F208 &amp; "0123456789")) - 1)</f>
        <v>VD</v>
      </c>
      <c r="B208" s="1">
        <f t="shared" si="6"/>
        <v>492</v>
      </c>
      <c r="C208" s="1"/>
      <c r="D208" s="1">
        <f t="shared" si="7"/>
        <v>17</v>
      </c>
      <c r="E208" s="1" t="s">
        <v>909</v>
      </c>
      <c r="F208" s="1" t="s">
        <v>1086</v>
      </c>
      <c r="G208" s="25" t="s">
        <v>1046</v>
      </c>
    </row>
    <row r="209" spans="1:7" ht="24.95" customHeight="1">
      <c r="A209" s="5" t="str">
        <f t="array" ref="A209">LEFT(F209, MIN(FIND({0,1,2,3,4,5,6,7,8,9}, F209 &amp; "0123456789")) - 1)</f>
        <v>VD</v>
      </c>
      <c r="B209" s="1">
        <f t="shared" si="6"/>
        <v>496</v>
      </c>
      <c r="C209" s="1"/>
      <c r="D209" s="1">
        <f t="shared" si="7"/>
        <v>17</v>
      </c>
      <c r="E209" s="1" t="s">
        <v>910</v>
      </c>
      <c r="F209" s="1" t="s">
        <v>1087</v>
      </c>
      <c r="G209" s="25" t="s">
        <v>1047</v>
      </c>
    </row>
    <row r="210" spans="1:7" ht="24.95" customHeight="1">
      <c r="A210" s="5" t="str">
        <f t="array" ref="A210">LEFT(F210, MIN(FIND({0,1,2,3,4,5,6,7,8,9}, F210 &amp; "0123456789")) - 1)</f>
        <v>VD</v>
      </c>
      <c r="B210" s="1">
        <f t="shared" si="6"/>
        <v>500</v>
      </c>
      <c r="C210" s="1"/>
      <c r="D210" s="1">
        <f t="shared" si="7"/>
        <v>17</v>
      </c>
      <c r="E210" s="1" t="s">
        <v>911</v>
      </c>
      <c r="F210" s="7" t="s">
        <v>19</v>
      </c>
      <c r="G210" s="25" t="s">
        <v>1048</v>
      </c>
    </row>
    <row r="211" spans="1:7" ht="24.95" customHeight="1">
      <c r="A211" s="5" t="str">
        <f t="array" ref="A211">LEFT(F211, MIN(FIND({0,1,2,3,4,5,6,7,8,9}, F211 &amp; "0123456789")) - 1)</f>
        <v>VD</v>
      </c>
      <c r="B211" s="1">
        <f t="shared" si="6"/>
        <v>504</v>
      </c>
      <c r="C211" s="1"/>
      <c r="D211" s="1">
        <f t="shared" si="7"/>
        <v>17</v>
      </c>
      <c r="E211" s="1" t="s">
        <v>1251</v>
      </c>
      <c r="F211" s="1" t="s">
        <v>39</v>
      </c>
      <c r="G211" s="25" t="s">
        <v>913</v>
      </c>
    </row>
    <row r="212" spans="1:7" ht="24.95" customHeight="1">
      <c r="A212" s="5" t="str">
        <f t="array" ref="A212">LEFT(F212, MIN(FIND({0,1,2,3,4,5,6,7,8,9}, F212 &amp; "0123456789")) - 1)</f>
        <v>VD</v>
      </c>
      <c r="B212" s="1">
        <f t="shared" si="6"/>
        <v>508</v>
      </c>
      <c r="C212" s="1"/>
      <c r="D212" s="1">
        <f t="shared" si="7"/>
        <v>17</v>
      </c>
      <c r="E212" s="1" t="s">
        <v>1219</v>
      </c>
      <c r="F212" s="1" t="s">
        <v>53</v>
      </c>
      <c r="G212" s="25" t="s">
        <v>912</v>
      </c>
    </row>
    <row r="213" spans="1:7" ht="24.95" customHeight="1">
      <c r="A213" s="5" t="str">
        <f t="array" ref="A213">LEFT(F213, MIN(FIND({0,1,2,3,4,5,6,7,8,9}, F213 &amp; "0123456789")) - 1)</f>
        <v>VD</v>
      </c>
      <c r="B213" s="1">
        <f t="shared" si="6"/>
        <v>512</v>
      </c>
      <c r="C213" s="1"/>
      <c r="D213" s="1">
        <f t="shared" si="7"/>
        <v>17</v>
      </c>
      <c r="E213" s="1" t="s">
        <v>1220</v>
      </c>
      <c r="F213" s="1" t="s">
        <v>62</v>
      </c>
      <c r="G213" s="25" t="s">
        <v>914</v>
      </c>
    </row>
    <row r="214" spans="1:7" ht="24.95" customHeight="1">
      <c r="A214" s="5" t="str">
        <f t="array" ref="A214">LEFT(F214, MIN(FIND({0,1,2,3,4,5,6,7,8,9}, F214 &amp; "0123456789")) - 1)</f>
        <v>VD</v>
      </c>
      <c r="B214" s="1">
        <f t="shared" si="6"/>
        <v>516</v>
      </c>
      <c r="C214" s="1"/>
      <c r="D214" s="1">
        <f t="shared" si="7"/>
        <v>17</v>
      </c>
      <c r="E214" s="1" t="s">
        <v>1221</v>
      </c>
      <c r="F214" s="1" t="s">
        <v>72</v>
      </c>
      <c r="G214" s="25" t="s">
        <v>915</v>
      </c>
    </row>
    <row r="215" spans="1:7" ht="24.95" customHeight="1">
      <c r="A215" s="5" t="str">
        <f t="array" ref="A215">LEFT(F215, MIN(FIND({0,1,2,3,4,5,6,7,8,9}, F215 &amp; "0123456789")) - 1)</f>
        <v>VD</v>
      </c>
      <c r="B215" s="1">
        <f t="shared" si="6"/>
        <v>520</v>
      </c>
      <c r="C215" s="1"/>
      <c r="D215" s="1">
        <f t="shared" si="7"/>
        <v>17</v>
      </c>
      <c r="E215" s="1" t="s">
        <v>1222</v>
      </c>
      <c r="F215" s="1" t="s">
        <v>83</v>
      </c>
      <c r="G215" s="25" t="s">
        <v>916</v>
      </c>
    </row>
    <row r="216" spans="1:7" ht="24.95" customHeight="1">
      <c r="A216" s="5" t="str">
        <f t="array" ref="A216">LEFT(F216, MIN(FIND({0,1,2,3,4,5,6,7,8,9}, F216 &amp; "0123456789")) - 1)</f>
        <v>VD</v>
      </c>
      <c r="B216" s="1">
        <f t="shared" si="6"/>
        <v>524</v>
      </c>
      <c r="C216" s="1"/>
      <c r="D216" s="1">
        <f t="shared" si="7"/>
        <v>17</v>
      </c>
      <c r="E216" s="1" t="s">
        <v>1223</v>
      </c>
      <c r="F216" s="1" t="s">
        <v>92</v>
      </c>
      <c r="G216" s="25" t="s">
        <v>917</v>
      </c>
    </row>
    <row r="217" spans="1:7" ht="24.95" customHeight="1">
      <c r="A217" s="5" t="str">
        <f t="array" ref="A217">LEFT(F217, MIN(FIND({0,1,2,3,4,5,6,7,8,9}, F217 &amp; "0123456789")) - 1)</f>
        <v>VD</v>
      </c>
      <c r="B217" s="1">
        <f t="shared" si="6"/>
        <v>586</v>
      </c>
      <c r="C217" s="1"/>
      <c r="D217" s="1">
        <f t="shared" si="7"/>
        <v>20</v>
      </c>
      <c r="E217" s="1" t="s">
        <v>1560</v>
      </c>
      <c r="F217" s="1" t="s">
        <v>1561</v>
      </c>
      <c r="G217" s="25" t="s">
        <v>1562</v>
      </c>
    </row>
    <row r="218" spans="1:7" ht="24.95" customHeight="1">
      <c r="A218" s="5" t="str">
        <f t="array" ref="A218">LEFT(F218, MIN(FIND({0,1,2,3,4,5,6,7,8,9}, F218 &amp; "0123456789")) - 1)</f>
        <v>VD</v>
      </c>
      <c r="B218" s="1">
        <f t="shared" si="6"/>
        <v>1640</v>
      </c>
      <c r="C218" s="1"/>
      <c r="D218" s="1">
        <f t="shared" si="7"/>
        <v>16</v>
      </c>
      <c r="E218" s="1" t="s">
        <v>1385</v>
      </c>
      <c r="F218" s="1" t="s">
        <v>1377</v>
      </c>
      <c r="G218" s="33" t="s">
        <v>1369</v>
      </c>
    </row>
    <row r="219" spans="1:7" ht="24.95" customHeight="1">
      <c r="A219" s="5" t="str">
        <f t="array" ref="A219">LEFT(F219, MIN(FIND({0,1,2,3,4,5,6,7,8,9}, F219 &amp; "0123456789")) - 1)</f>
        <v>VD</v>
      </c>
      <c r="B219" s="1">
        <f t="shared" si="6"/>
        <v>1644</v>
      </c>
      <c r="C219" s="1"/>
      <c r="D219" s="1">
        <f t="shared" si="7"/>
        <v>16</v>
      </c>
      <c r="E219" s="1" t="s">
        <v>1387</v>
      </c>
      <c r="F219" s="1" t="s">
        <v>1379</v>
      </c>
      <c r="G219" s="25" t="s">
        <v>1371</v>
      </c>
    </row>
    <row r="220" spans="1:7" ht="24.95" customHeight="1">
      <c r="A220" s="5" t="str">
        <f t="array" ref="A220">LEFT(F220, MIN(FIND({0,1,2,3,4,5,6,7,8,9}, F220 &amp; "0123456789")) - 1)</f>
        <v>VD</v>
      </c>
      <c r="B220" s="1">
        <f t="shared" si="6"/>
        <v>1648</v>
      </c>
      <c r="C220" s="1"/>
      <c r="D220" s="1">
        <f t="shared" si="7"/>
        <v>17</v>
      </c>
      <c r="E220" s="1" t="s">
        <v>1176</v>
      </c>
      <c r="F220" s="1" t="s">
        <v>1563</v>
      </c>
      <c r="G220" s="25" t="s">
        <v>1564</v>
      </c>
    </row>
    <row r="221" spans="1:7" ht="24.95" customHeight="1">
      <c r="A221" s="5" t="str">
        <f t="array" ref="A221">LEFT(F221, MIN(FIND({0,1,2,3,4,5,6,7,8,9}, F221 &amp; "0123456789")) - 1)</f>
        <v>VD</v>
      </c>
      <c r="B221" s="1">
        <f t="shared" si="6"/>
        <v>1652</v>
      </c>
      <c r="C221" s="1"/>
      <c r="D221" s="1">
        <f t="shared" si="7"/>
        <v>18</v>
      </c>
      <c r="E221" s="1" t="s">
        <v>1177</v>
      </c>
      <c r="F221" s="1" t="s">
        <v>1381</v>
      </c>
      <c r="G221" s="25" t="s">
        <v>1565</v>
      </c>
    </row>
    <row r="222" spans="1:7" ht="24.95" customHeight="1">
      <c r="A222" s="5" t="str">
        <f t="array" ref="A222">LEFT(F222, MIN(FIND({0,1,2,3,4,5,6,7,8,9}, F222 &amp; "0123456789")) - 1)</f>
        <v>VD</v>
      </c>
      <c r="B222" s="1">
        <f t="shared" si="6"/>
        <v>1880</v>
      </c>
      <c r="C222" s="1"/>
      <c r="D222" s="1">
        <f t="shared" si="7"/>
        <v>17</v>
      </c>
      <c r="E222" s="1" t="s">
        <v>1390</v>
      </c>
      <c r="F222" s="1" t="s">
        <v>1383</v>
      </c>
      <c r="G222" s="25" t="s">
        <v>1566</v>
      </c>
    </row>
    <row r="223" spans="1:7" ht="24.95" customHeight="1">
      <c r="A223" s="60" t="str">
        <f t="array" ref="A223">LEFT(F223, MIN(FIND({0,1,2,3,4,5,6,7,8,9}, F223 &amp; "0123456789")) - 1)</f>
        <v>VW</v>
      </c>
      <c r="B223" s="14">
        <f t="shared" si="6"/>
        <v>100</v>
      </c>
      <c r="C223" s="14"/>
      <c r="D223" s="14">
        <f t="shared" si="7"/>
        <v>16</v>
      </c>
      <c r="E223" s="14" t="s">
        <v>1178</v>
      </c>
      <c r="F223" s="13" t="s">
        <v>695</v>
      </c>
      <c r="G223" s="61" t="s">
        <v>1011</v>
      </c>
    </row>
    <row r="224" spans="1:7" ht="24.95" customHeight="1">
      <c r="A224" s="60" t="str">
        <f t="array" ref="A224">LEFT(F224, MIN(FIND({0,1,2,3,4,5,6,7,8,9}, F224 &amp; "0123456789")) - 1)</f>
        <v>VW</v>
      </c>
      <c r="B224" s="14">
        <f t="shared" si="6"/>
        <v>104</v>
      </c>
      <c r="C224" s="14"/>
      <c r="D224" s="14">
        <f t="shared" si="7"/>
        <v>16</v>
      </c>
      <c r="E224" s="1" t="s">
        <v>1179</v>
      </c>
      <c r="F224" s="7" t="s">
        <v>1193</v>
      </c>
      <c r="G224" s="33" t="s">
        <v>80</v>
      </c>
    </row>
    <row r="225" spans="1:7" ht="24.95" customHeight="1">
      <c r="A225" s="60" t="str">
        <f t="array" ref="A225">LEFT(F225, MIN(FIND({0,1,2,3,4,5,6,7,8,9}, F225 &amp; "0123456789")) - 1)</f>
        <v>VW</v>
      </c>
      <c r="B225" s="14">
        <f t="shared" si="6"/>
        <v>108</v>
      </c>
      <c r="C225" s="14"/>
      <c r="D225" s="14">
        <f t="shared" si="7"/>
        <v>22</v>
      </c>
      <c r="E225" s="1" t="s">
        <v>1180</v>
      </c>
      <c r="F225" s="7" t="s">
        <v>1460</v>
      </c>
      <c r="G225" s="33" t="s">
        <v>1181</v>
      </c>
    </row>
    <row r="226" spans="1:7" ht="24.95" customHeight="1">
      <c r="A226" s="60" t="str">
        <f t="array" ref="A226">LEFT(F226, MIN(FIND({0,1,2,3,4,5,6,7,8,9}, F226 &amp; "0123456789")) - 1)</f>
        <v>VW</v>
      </c>
      <c r="B226" s="14">
        <f t="shared" si="6"/>
        <v>112</v>
      </c>
      <c r="C226" s="14"/>
      <c r="D226" s="14">
        <f t="shared" si="7"/>
        <v>22</v>
      </c>
      <c r="E226" s="1" t="s">
        <v>1182</v>
      </c>
      <c r="F226" s="7" t="s">
        <v>1461</v>
      </c>
      <c r="G226" s="33" t="s">
        <v>1183</v>
      </c>
    </row>
    <row r="227" spans="1:7" ht="24.95" customHeight="1">
      <c r="A227" s="60" t="str">
        <f t="array" ref="A227">LEFT(F227, MIN(FIND({0,1,2,3,4,5,6,7,8,9}, F227 &amp; "0123456789")) - 1)</f>
        <v>VW</v>
      </c>
      <c r="B227" s="14">
        <f t="shared" si="6"/>
        <v>116</v>
      </c>
      <c r="C227" s="14"/>
      <c r="D227" s="14">
        <f t="shared" si="7"/>
        <v>22</v>
      </c>
      <c r="E227" s="1" t="s">
        <v>1184</v>
      </c>
      <c r="F227" s="7" t="s">
        <v>1462</v>
      </c>
      <c r="G227" s="33" t="s">
        <v>1185</v>
      </c>
    </row>
    <row r="228" spans="1:7" ht="24.95" customHeight="1">
      <c r="A228" s="60" t="str">
        <f t="array" ref="A228">LEFT(F228, MIN(FIND({0,1,2,3,4,5,6,7,8,9}, F228 &amp; "0123456789")) - 1)</f>
        <v>VW</v>
      </c>
      <c r="B228" s="14">
        <f t="shared" si="6"/>
        <v>120</v>
      </c>
      <c r="C228" s="14"/>
      <c r="D228" s="14">
        <f t="shared" si="7"/>
        <v>22</v>
      </c>
      <c r="E228" s="1" t="s">
        <v>1186</v>
      </c>
      <c r="F228" s="7" t="s">
        <v>1463</v>
      </c>
      <c r="G228" s="33" t="s">
        <v>1187</v>
      </c>
    </row>
    <row r="229" spans="1:7" ht="24.95" customHeight="1">
      <c r="A229" s="60" t="str">
        <f t="array" ref="A229">LEFT(F229, MIN(FIND({0,1,2,3,4,5,6,7,8,9}, F229 &amp; "0123456789")) - 1)</f>
        <v>VW</v>
      </c>
      <c r="B229" s="14">
        <f t="shared" si="6"/>
        <v>124</v>
      </c>
      <c r="C229" s="14"/>
      <c r="D229" s="14">
        <f t="shared" si="7"/>
        <v>22</v>
      </c>
      <c r="E229" s="1" t="s">
        <v>1188</v>
      </c>
      <c r="F229" s="7" t="s">
        <v>1464</v>
      </c>
      <c r="G229" s="33" t="s">
        <v>1189</v>
      </c>
    </row>
    <row r="230" spans="1:7" ht="24.95" customHeight="1">
      <c r="A230" s="60" t="str">
        <f t="array" ref="A230">LEFT(F230, MIN(FIND({0,1,2,3,4,5,6,7,8,9}, F230 &amp; "0123456789")) - 1)</f>
        <v>VW</v>
      </c>
      <c r="B230" s="14">
        <f t="shared" si="6"/>
        <v>128</v>
      </c>
      <c r="C230" s="14"/>
      <c r="D230" s="14">
        <f t="shared" si="7"/>
        <v>22</v>
      </c>
      <c r="E230" s="1" t="s">
        <v>1190</v>
      </c>
      <c r="F230" s="7" t="s">
        <v>1465</v>
      </c>
      <c r="G230" s="33" t="s">
        <v>1191</v>
      </c>
    </row>
    <row r="231" spans="1:7" ht="24.95" customHeight="1">
      <c r="A231" s="60" t="str">
        <f t="array" ref="A231">LEFT(F231, MIN(FIND({0,1,2,3,4,5,6,7,8,9}, F231 &amp; "0123456789")) - 1)</f>
        <v>VW</v>
      </c>
      <c r="B231" s="14">
        <f t="shared" si="6"/>
        <v>132</v>
      </c>
      <c r="C231" s="14"/>
      <c r="D231" s="14">
        <f t="shared" si="7"/>
        <v>19</v>
      </c>
      <c r="E231" s="1" t="s">
        <v>1192</v>
      </c>
      <c r="F231" s="7" t="s">
        <v>1466</v>
      </c>
      <c r="G231" s="33" t="s">
        <v>1194</v>
      </c>
    </row>
    <row r="232" spans="1:7" ht="24.95" customHeight="1">
      <c r="A232" s="60" t="str">
        <f t="array" ref="A232">LEFT(F232, MIN(FIND({0,1,2,3,4,5,6,7,8,9}, F232 &amp; "0123456789")) - 1)</f>
        <v>VW</v>
      </c>
      <c r="B232" s="14">
        <f t="shared" si="6"/>
        <v>136</v>
      </c>
      <c r="C232" s="14"/>
      <c r="D232" s="14">
        <f t="shared" si="7"/>
        <v>21</v>
      </c>
      <c r="E232" s="1" t="s">
        <v>1195</v>
      </c>
      <c r="F232" s="7" t="s">
        <v>1467</v>
      </c>
      <c r="G232" s="33" t="s">
        <v>1196</v>
      </c>
    </row>
    <row r="233" spans="1:7" ht="24.95" customHeight="1">
      <c r="A233" s="60" t="str">
        <f t="array" ref="A233">LEFT(F233, MIN(FIND({0,1,2,3,4,5,6,7,8,9}, F233 &amp; "0123456789")) - 1)</f>
        <v>VW</v>
      </c>
      <c r="B233" s="14">
        <f t="shared" si="6"/>
        <v>138</v>
      </c>
      <c r="C233" s="14"/>
      <c r="D233" s="14">
        <f t="shared" si="7"/>
        <v>21</v>
      </c>
      <c r="E233" s="1" t="s">
        <v>1567</v>
      </c>
      <c r="F233" s="7" t="s">
        <v>1568</v>
      </c>
      <c r="G233" s="33" t="s">
        <v>1569</v>
      </c>
    </row>
    <row r="234" spans="1:7" ht="24.95" customHeight="1">
      <c r="A234" s="60" t="str">
        <f t="array" ref="A234">LEFT(F234, MIN(FIND({0,1,2,3,4,5,6,7,8,9}, F234 &amp; "0123456789")) - 1)</f>
        <v>VW</v>
      </c>
      <c r="B234" s="14">
        <f t="shared" si="6"/>
        <v>140</v>
      </c>
      <c r="C234" s="1"/>
      <c r="D234" s="14">
        <f t="shared" si="7"/>
        <v>13</v>
      </c>
      <c r="E234" s="66" t="s">
        <v>1570</v>
      </c>
      <c r="F234" s="7" t="s">
        <v>1571</v>
      </c>
      <c r="G234" s="65" t="s">
        <v>1572</v>
      </c>
    </row>
    <row r="235" spans="1:7" ht="24.95" customHeight="1">
      <c r="A235" s="60" t="str">
        <f t="array" ref="A235">LEFT(F235, MIN(FIND({0,1,2,3,4,5,6,7,8,9}, F235 &amp; "0123456789")) - 1)</f>
        <v>VW</v>
      </c>
      <c r="B235" s="14">
        <f t="shared" si="6"/>
        <v>142</v>
      </c>
      <c r="C235" s="14"/>
      <c r="D235" s="14">
        <f t="shared" si="7"/>
        <v>14</v>
      </c>
      <c r="E235" s="14" t="s">
        <v>1573</v>
      </c>
      <c r="F235" s="14" t="s">
        <v>1574</v>
      </c>
      <c r="G235" s="67" t="s">
        <v>1575</v>
      </c>
    </row>
    <row r="236" spans="1:7" ht="24.95" customHeight="1">
      <c r="A236" s="60" t="str">
        <f t="array" ref="A236">LEFT(F236, MIN(FIND({0,1,2,3,4,5,6,7,8,9}, F236 &amp; "0123456789")) - 1)</f>
        <v>VW</v>
      </c>
      <c r="B236" s="14">
        <f t="shared" si="6"/>
        <v>144</v>
      </c>
      <c r="C236" s="14"/>
      <c r="D236" s="14">
        <f t="shared" si="7"/>
        <v>15</v>
      </c>
      <c r="E236" s="14" t="s">
        <v>1576</v>
      </c>
      <c r="F236" s="14" t="s">
        <v>1577</v>
      </c>
      <c r="G236" s="37" t="s">
        <v>1578</v>
      </c>
    </row>
    <row r="237" spans="1:7" ht="24.95" customHeight="1">
      <c r="A237" s="60" t="str">
        <f t="array" ref="A237">LEFT(F237, MIN(FIND({0,1,2,3,4,5,6,7,8,9}, F237 &amp; "0123456789")) - 1)</f>
        <v>VW</v>
      </c>
      <c r="B237" s="14">
        <f t="shared" si="6"/>
        <v>154</v>
      </c>
      <c r="C237" s="14"/>
      <c r="D237" s="14">
        <f t="shared" si="7"/>
        <v>23</v>
      </c>
      <c r="E237" s="1" t="s">
        <v>1579</v>
      </c>
      <c r="F237" s="1" t="s">
        <v>1580</v>
      </c>
      <c r="G237" s="25" t="s">
        <v>1581</v>
      </c>
    </row>
    <row r="238" spans="1:7" ht="24.95" customHeight="1">
      <c r="A238" s="60" t="str">
        <f t="array" ref="A238">LEFT(F238, MIN(FIND({0,1,2,3,4,5,6,7,8,9}, F238 &amp; "0123456789")) - 1)</f>
        <v>VW</v>
      </c>
      <c r="B238" s="14">
        <f t="shared" si="6"/>
        <v>156</v>
      </c>
      <c r="C238" s="14"/>
      <c r="D238" s="14">
        <f t="shared" si="7"/>
        <v>23</v>
      </c>
      <c r="E238" s="1" t="s">
        <v>1582</v>
      </c>
      <c r="F238" s="1" t="s">
        <v>1583</v>
      </c>
      <c r="G238" s="25" t="s">
        <v>1584</v>
      </c>
    </row>
    <row r="239" spans="1:7" ht="24.95" customHeight="1">
      <c r="A239" s="60" t="str">
        <f t="array" ref="A239">LEFT(F239, MIN(FIND({0,1,2,3,4,5,6,7,8,9}, F239 &amp; "0123456789")) - 1)</f>
        <v>VW</v>
      </c>
      <c r="B239" s="14">
        <f t="shared" si="6"/>
        <v>528</v>
      </c>
      <c r="C239" s="14"/>
      <c r="D239" s="14">
        <f t="shared" si="7"/>
        <v>16</v>
      </c>
      <c r="E239" s="1" t="s">
        <v>1197</v>
      </c>
      <c r="F239" s="1" t="s">
        <v>1198</v>
      </c>
      <c r="G239" s="25" t="s">
        <v>918</v>
      </c>
    </row>
    <row r="240" spans="1:7" ht="24.95" customHeight="1">
      <c r="A240" s="60" t="str">
        <f t="array" ref="A240">LEFT(F240, MIN(FIND({0,1,2,3,4,5,6,7,8,9}, F240 &amp; "0123456789")) - 1)</f>
        <v>VW</v>
      </c>
      <c r="B240" s="14">
        <f t="shared" si="6"/>
        <v>532</v>
      </c>
      <c r="C240" s="14"/>
      <c r="D240" s="14">
        <f t="shared" si="7"/>
        <v>18</v>
      </c>
      <c r="E240" s="1" t="s">
        <v>1224</v>
      </c>
      <c r="F240" s="1" t="s">
        <v>1201</v>
      </c>
      <c r="G240" s="25" t="s">
        <v>919</v>
      </c>
    </row>
    <row r="241" spans="1:7" ht="24.95" customHeight="1">
      <c r="A241" s="60" t="str">
        <f t="array" ref="A241">LEFT(F241, MIN(FIND({0,1,2,3,4,5,6,7,8,9}, F241 &amp; "0123456789")) - 1)</f>
        <v>VW</v>
      </c>
      <c r="B241" s="14">
        <f t="shared" si="6"/>
        <v>536</v>
      </c>
      <c r="C241" s="14"/>
      <c r="D241" s="14">
        <f t="shared" si="7"/>
        <v>20</v>
      </c>
      <c r="E241" s="1" t="s">
        <v>1199</v>
      </c>
      <c r="F241" s="1" t="s">
        <v>1204</v>
      </c>
      <c r="G241" s="25" t="s">
        <v>1012</v>
      </c>
    </row>
    <row r="242" spans="1:7" ht="24.95" customHeight="1">
      <c r="A242" s="60" t="str">
        <f t="array" ref="A242">LEFT(F242, MIN(FIND({0,1,2,3,4,5,6,7,8,9}, F242 &amp; "0123456789")) - 1)</f>
        <v>VW</v>
      </c>
      <c r="B242" s="14">
        <f t="shared" si="6"/>
        <v>540</v>
      </c>
      <c r="C242" s="14"/>
      <c r="D242" s="14">
        <f t="shared" si="7"/>
        <v>22</v>
      </c>
      <c r="E242" s="1" t="s">
        <v>1200</v>
      </c>
      <c r="F242" s="1" t="s">
        <v>1207</v>
      </c>
      <c r="G242" s="25" t="s">
        <v>920</v>
      </c>
    </row>
    <row r="243" spans="1:7" ht="24.95" customHeight="1">
      <c r="A243" s="60" t="str">
        <f t="array" ref="A243">LEFT(F243, MIN(FIND({0,1,2,3,4,5,6,7,8,9}, F243 &amp; "0123456789")) - 1)</f>
        <v>VW</v>
      </c>
      <c r="B243" s="14">
        <f t="shared" si="6"/>
        <v>544</v>
      </c>
      <c r="C243" s="14"/>
      <c r="D243" s="14">
        <f t="shared" si="7"/>
        <v>22</v>
      </c>
      <c r="E243" s="1" t="s">
        <v>1202</v>
      </c>
      <c r="F243" s="1" t="s">
        <v>1210</v>
      </c>
      <c r="G243" s="25" t="s">
        <v>921</v>
      </c>
    </row>
    <row r="244" spans="1:7" ht="24.95" customHeight="1">
      <c r="A244" s="60" t="str">
        <f t="array" ref="A244">LEFT(F244, MIN(FIND({0,1,2,3,4,5,6,7,8,9}, F244 &amp; "0123456789")) - 1)</f>
        <v>VW</v>
      </c>
      <c r="B244" s="14">
        <f t="shared" si="6"/>
        <v>548</v>
      </c>
      <c r="C244" s="14"/>
      <c r="D244" s="14">
        <f t="shared" si="7"/>
        <v>22</v>
      </c>
      <c r="E244" s="1" t="s">
        <v>1203</v>
      </c>
      <c r="F244" s="1" t="s">
        <v>1225</v>
      </c>
      <c r="G244" s="25" t="s">
        <v>922</v>
      </c>
    </row>
    <row r="245" spans="1:7" ht="24.95" customHeight="1">
      <c r="A245" s="60" t="str">
        <f t="array" ref="A245">LEFT(F245, MIN(FIND({0,1,2,3,4,5,6,7,8,9}, F245 &amp; "0123456789")) - 1)</f>
        <v>VW</v>
      </c>
      <c r="B245" s="14">
        <f t="shared" si="6"/>
        <v>552</v>
      </c>
      <c r="C245" s="14"/>
      <c r="D245" s="14">
        <f t="shared" si="7"/>
        <v>22</v>
      </c>
      <c r="E245" s="1" t="s">
        <v>1205</v>
      </c>
      <c r="F245" s="1" t="s">
        <v>1226</v>
      </c>
      <c r="G245" s="25" t="s">
        <v>923</v>
      </c>
    </row>
    <row r="246" spans="1:7" ht="24.95" customHeight="1">
      <c r="A246" s="60" t="str">
        <f t="array" ref="A246">LEFT(F246, MIN(FIND({0,1,2,3,4,5,6,7,8,9}, F246 &amp; "0123456789")) - 1)</f>
        <v>VW</v>
      </c>
      <c r="B246" s="14">
        <f t="shared" si="6"/>
        <v>556</v>
      </c>
      <c r="C246" s="14"/>
      <c r="D246" s="14">
        <f t="shared" si="7"/>
        <v>22</v>
      </c>
      <c r="E246" s="1" t="s">
        <v>1206</v>
      </c>
      <c r="F246" s="1" t="s">
        <v>1227</v>
      </c>
      <c r="G246" s="25" t="s">
        <v>924</v>
      </c>
    </row>
    <row r="247" spans="1:7" ht="24.95" customHeight="1">
      <c r="A247" s="60" t="str">
        <f t="array" ref="A247">LEFT(F247, MIN(FIND({0,1,2,3,4,5,6,7,8,9}, F247 &amp; "0123456789")) - 1)</f>
        <v>VW</v>
      </c>
      <c r="B247" s="14">
        <f t="shared" si="6"/>
        <v>560</v>
      </c>
      <c r="C247" s="14"/>
      <c r="D247" s="14">
        <f t="shared" si="7"/>
        <v>22</v>
      </c>
      <c r="E247" s="1" t="s">
        <v>1208</v>
      </c>
      <c r="F247" s="1" t="s">
        <v>1228</v>
      </c>
      <c r="G247" s="25" t="s">
        <v>925</v>
      </c>
    </row>
    <row r="248" spans="1:7" ht="24.95" customHeight="1">
      <c r="A248" s="60" t="str">
        <f t="array" ref="A248">LEFT(F248, MIN(FIND({0,1,2,3,4,5,6,7,8,9}, F248 &amp; "0123456789")) - 1)</f>
        <v>VW</v>
      </c>
      <c r="B248" s="14">
        <f t="shared" si="6"/>
        <v>564</v>
      </c>
      <c r="C248" s="14"/>
      <c r="D248" s="14">
        <f t="shared" si="7"/>
        <v>19</v>
      </c>
      <c r="E248" s="1" t="s">
        <v>1209</v>
      </c>
      <c r="F248" s="1" t="s">
        <v>1229</v>
      </c>
      <c r="G248" s="25" t="s">
        <v>694</v>
      </c>
    </row>
    <row r="249" spans="1:7" ht="24.95" customHeight="1">
      <c r="A249" s="60" t="str">
        <f t="array" ref="A249">LEFT(F249, MIN(FIND({0,1,2,3,4,5,6,7,8,9}, F249 &amp; "0123456789")) - 1)</f>
        <v>VW</v>
      </c>
      <c r="B249" s="14">
        <f t="shared" si="6"/>
        <v>568</v>
      </c>
      <c r="C249" s="14"/>
      <c r="D249" s="14">
        <f t="shared" si="7"/>
        <v>23</v>
      </c>
      <c r="E249" s="1" t="s">
        <v>1254</v>
      </c>
      <c r="F249" s="1" t="s">
        <v>1230</v>
      </c>
      <c r="G249" s="25" t="s">
        <v>1255</v>
      </c>
    </row>
    <row r="250" spans="1:7" ht="24.95" customHeight="1">
      <c r="A250" s="60" t="str">
        <f t="array" ref="A250">LEFT(F250, MIN(FIND({0,1,2,3,4,5,6,7,8,9}, F250 &amp; "0123456789")) - 1)</f>
        <v>VW</v>
      </c>
      <c r="B250" s="14">
        <f t="shared" si="6"/>
        <v>572</v>
      </c>
      <c r="C250" s="14"/>
      <c r="D250" s="14">
        <f t="shared" si="7"/>
        <v>23</v>
      </c>
      <c r="E250" s="1" t="s">
        <v>1275</v>
      </c>
      <c r="F250" s="1" t="s">
        <v>1256</v>
      </c>
      <c r="G250" s="25" t="s">
        <v>1257</v>
      </c>
    </row>
    <row r="251" spans="1:7" ht="24.95" customHeight="1">
      <c r="A251" s="60" t="str">
        <f t="array" ref="A251">LEFT(F251, MIN(FIND({0,1,2,3,4,5,6,7,8,9}, F251 &amp; "0123456789")) - 1)</f>
        <v>VW</v>
      </c>
      <c r="B251" s="14">
        <f t="shared" si="6"/>
        <v>576</v>
      </c>
      <c r="C251" s="14"/>
      <c r="D251" s="14">
        <f t="shared" si="7"/>
        <v>22</v>
      </c>
      <c r="E251" s="1" t="s">
        <v>1252</v>
      </c>
      <c r="F251" s="1" t="s">
        <v>1279</v>
      </c>
      <c r="G251" s="25" t="s">
        <v>1253</v>
      </c>
    </row>
    <row r="252" spans="1:7" ht="24.95" customHeight="1">
      <c r="A252" s="60" t="str">
        <f t="array" ref="A252">LEFT(F252, MIN(FIND({0,1,2,3,4,5,6,7,8,9}, F252 &amp; "0123456789")) - 1)</f>
        <v>VW</v>
      </c>
      <c r="B252" s="14">
        <f t="shared" si="6"/>
        <v>580</v>
      </c>
      <c r="C252" s="14"/>
      <c r="D252" s="14">
        <f t="shared" si="7"/>
        <v>22</v>
      </c>
      <c r="E252" s="1" t="s">
        <v>1288</v>
      </c>
      <c r="F252" s="1" t="s">
        <v>1289</v>
      </c>
      <c r="G252" s="25" t="s">
        <v>1290</v>
      </c>
    </row>
    <row r="253" spans="1:7" ht="24.95" customHeight="1">
      <c r="A253" s="60" t="str">
        <f t="array" ref="A253">LEFT(F253, MIN(FIND({0,1,2,3,4,5,6,7,8,9}, F253 &amp; "0123456789")) - 1)</f>
        <v>VW</v>
      </c>
      <c r="B253" s="14">
        <f t="shared" si="6"/>
        <v>584</v>
      </c>
      <c r="C253" s="14"/>
      <c r="D253" s="14">
        <f t="shared" si="7"/>
        <v>21</v>
      </c>
      <c r="E253" s="1" t="s">
        <v>1291</v>
      </c>
      <c r="F253" s="1" t="s">
        <v>1292</v>
      </c>
      <c r="G253" s="25" t="s">
        <v>1293</v>
      </c>
    </row>
    <row r="254" spans="1:7" ht="24.95" customHeight="1">
      <c r="A254" s="60" t="str">
        <f t="array" ref="A254">LEFT(F254, MIN(FIND({0,1,2,3,4,5,6,7,8,9}, F254 &amp; "0123456789")) - 1)</f>
        <v>VW</v>
      </c>
      <c r="B254" s="14">
        <f t="shared" si="6"/>
        <v>814</v>
      </c>
      <c r="C254" s="14"/>
      <c r="D254" s="14">
        <f t="shared" si="7"/>
        <v>12</v>
      </c>
      <c r="E254" s="1" t="s">
        <v>1585</v>
      </c>
      <c r="F254" s="1" t="s">
        <v>1472</v>
      </c>
      <c r="G254" s="72" t="s">
        <v>1590</v>
      </c>
    </row>
    <row r="255" spans="1:7" ht="24.95" customHeight="1">
      <c r="A255" s="60" t="str">
        <f t="array" ref="A255">LEFT(F255, MIN(FIND({0,1,2,3,4,5,6,7,8,9}, F255 &amp; "0123456789")) - 1)</f>
        <v>VW</v>
      </c>
      <c r="B255" s="14">
        <f t="shared" si="6"/>
        <v>816</v>
      </c>
      <c r="C255" s="14"/>
      <c r="D255" s="14">
        <f t="shared" si="7"/>
        <v>17</v>
      </c>
      <c r="E255" s="1" t="s">
        <v>1586</v>
      </c>
      <c r="F255" s="1" t="s">
        <v>1473</v>
      </c>
      <c r="G255" s="25" t="s">
        <v>1474</v>
      </c>
    </row>
    <row r="256" spans="1:7" ht="24.95" customHeight="1">
      <c r="A256" s="60" t="str">
        <f t="array" ref="A256">LEFT(F256, MIN(FIND({0,1,2,3,4,5,6,7,8,9}, F256 &amp; "0123456789")) - 1)</f>
        <v>VW</v>
      </c>
      <c r="B256" s="14">
        <f t="shared" si="6"/>
        <v>1898</v>
      </c>
      <c r="C256" s="14"/>
      <c r="D256" s="14">
        <f t="shared" si="7"/>
        <v>17</v>
      </c>
      <c r="E256" s="1" t="s">
        <v>1587</v>
      </c>
      <c r="F256" s="1" t="s">
        <v>1294</v>
      </c>
      <c r="G256" s="25" t="s">
        <v>1468</v>
      </c>
    </row>
    <row r="257" spans="1:7" ht="24.95" customHeight="1">
      <c r="A257" s="60" t="str">
        <f t="array" ref="A257">LEFT(F257, MIN(FIND({0,1,2,3,4,5,6,7,8,9}, F257 &amp; "0123456789")) - 1)</f>
        <v>VW</v>
      </c>
      <c r="B257" s="14">
        <f t="shared" si="6"/>
        <v>1918</v>
      </c>
      <c r="C257" s="14"/>
      <c r="D257" s="14">
        <f t="shared" si="7"/>
        <v>18</v>
      </c>
      <c r="E257" s="1" t="s">
        <v>1588</v>
      </c>
      <c r="F257" s="1" t="s">
        <v>1397</v>
      </c>
      <c r="G257" s="25" t="s">
        <v>1589</v>
      </c>
    </row>
  </sheetData>
  <phoneticPr fontId="19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DDD2-0443-4862-87BD-5D53003BBCA5}">
  <dimension ref="A1:O40"/>
  <sheetViews>
    <sheetView workbookViewId="0">
      <selection activeCell="C4" sqref="C4"/>
    </sheetView>
  </sheetViews>
  <sheetFormatPr defaultRowHeight="24.95" customHeight="1"/>
  <cols>
    <col min="1" max="1" width="9.125" style="2" customWidth="1"/>
    <col min="2" max="6" width="9" style="2"/>
    <col min="7" max="7" width="88.625" style="2" customWidth="1"/>
    <col min="8" max="8" width="9" style="2"/>
    <col min="9" max="9" width="3.5" style="2" bestFit="1" customWidth="1"/>
    <col min="10" max="10" width="4.5" style="2" bestFit="1" customWidth="1"/>
    <col min="11" max="11" width="9" style="2"/>
    <col min="12" max="12" width="3.5" style="2" bestFit="1" customWidth="1"/>
    <col min="13" max="13" width="13.875" style="2" bestFit="1" customWidth="1"/>
    <col min="14" max="14" width="6.5" style="2" bestFit="1" customWidth="1"/>
    <col min="15" max="15" width="98.25" style="2" bestFit="1" customWidth="1"/>
    <col min="16" max="16384" width="9" style="2"/>
  </cols>
  <sheetData>
    <row r="1" spans="1:15" ht="24.95" customHeight="1">
      <c r="A1" s="70" t="s">
        <v>1593</v>
      </c>
      <c r="B1" s="70" t="s">
        <v>1591</v>
      </c>
      <c r="C1" s="70" t="s">
        <v>1592</v>
      </c>
      <c r="I1" s="60" t="str">
        <f t="array" ref="I1">LEFT(N1, MIN(FIND({0,1,2,3,4,5,6,7,8,9}, N1 &amp; "0123456789")) - 1)</f>
        <v>VW</v>
      </c>
      <c r="J1" s="76">
        <f>VALUE(RIGHT(N1,LEN(N1)-LEN(I1)))</f>
        <v>814</v>
      </c>
      <c r="K1" s="76"/>
      <c r="L1" s="76">
        <f>LEN(M1)</f>
        <v>12</v>
      </c>
      <c r="M1" s="75" t="s">
        <v>1585</v>
      </c>
      <c r="N1" s="75" t="s">
        <v>1472</v>
      </c>
      <c r="O1" s="77" t="s">
        <v>1590</v>
      </c>
    </row>
    <row r="2" spans="1:15" ht="24.95" customHeight="1">
      <c r="A2" s="1" t="s">
        <v>6</v>
      </c>
      <c r="B2" s="1">
        <v>20</v>
      </c>
      <c r="C2" s="1">
        <f t="shared" ref="C2:C40" si="0">B2-N(B1)</f>
        <v>20</v>
      </c>
    </row>
    <row r="3" spans="1:15" ht="24.95" customHeight="1">
      <c r="A3" s="1" t="s">
        <v>6</v>
      </c>
      <c r="B3" s="1">
        <v>24</v>
      </c>
      <c r="C3" s="1">
        <f t="shared" si="0"/>
        <v>4</v>
      </c>
    </row>
    <row r="4" spans="1:15" ht="24.95" customHeight="1">
      <c r="A4" s="1" t="s">
        <v>6</v>
      </c>
      <c r="B4" s="1">
        <v>32</v>
      </c>
      <c r="C4" s="1">
        <f t="shared" si="0"/>
        <v>8</v>
      </c>
    </row>
    <row r="5" spans="1:15" ht="24.95" customHeight="1">
      <c r="A5" s="1" t="s">
        <v>6</v>
      </c>
      <c r="B5" s="1">
        <v>36</v>
      </c>
      <c r="C5" s="1">
        <f t="shared" si="0"/>
        <v>4</v>
      </c>
    </row>
    <row r="6" spans="1:15" ht="24.95" customHeight="1">
      <c r="A6" s="1" t="s">
        <v>6</v>
      </c>
      <c r="B6" s="1">
        <v>40</v>
      </c>
      <c r="C6" s="1">
        <f t="shared" si="0"/>
        <v>4</v>
      </c>
    </row>
    <row r="7" spans="1:15" ht="24.95" customHeight="1">
      <c r="A7" s="1" t="s">
        <v>6</v>
      </c>
      <c r="B7" s="1">
        <v>44</v>
      </c>
      <c r="C7" s="1">
        <f t="shared" si="0"/>
        <v>4</v>
      </c>
    </row>
    <row r="8" spans="1:15" ht="24.95" customHeight="1">
      <c r="A8" s="1" t="s">
        <v>6</v>
      </c>
      <c r="B8" s="1">
        <v>48</v>
      </c>
      <c r="C8" s="1">
        <f t="shared" si="0"/>
        <v>4</v>
      </c>
    </row>
    <row r="9" spans="1:15" ht="24.95" customHeight="1">
      <c r="A9" s="1" t="s">
        <v>6</v>
      </c>
      <c r="B9" s="1">
        <v>52</v>
      </c>
      <c r="C9" s="1">
        <f t="shared" si="0"/>
        <v>4</v>
      </c>
    </row>
    <row r="10" spans="1:15" ht="24.95" customHeight="1">
      <c r="A10" s="1" t="s">
        <v>6</v>
      </c>
      <c r="B10" s="1">
        <v>56</v>
      </c>
      <c r="C10" s="1">
        <f t="shared" si="0"/>
        <v>4</v>
      </c>
    </row>
    <row r="11" spans="1:15" ht="24.95" customHeight="1">
      <c r="A11" s="1" t="s">
        <v>6</v>
      </c>
      <c r="B11" s="1">
        <v>60</v>
      </c>
      <c r="C11" s="1">
        <f t="shared" si="0"/>
        <v>4</v>
      </c>
    </row>
    <row r="12" spans="1:15" ht="24.95" customHeight="1">
      <c r="A12" s="1" t="s">
        <v>6</v>
      </c>
      <c r="B12" s="1">
        <v>64</v>
      </c>
      <c r="C12" s="1">
        <f t="shared" si="0"/>
        <v>4</v>
      </c>
    </row>
    <row r="13" spans="1:15" ht="24.95" customHeight="1">
      <c r="A13" s="1" t="s">
        <v>6</v>
      </c>
      <c r="B13" s="1">
        <v>68</v>
      </c>
      <c r="C13" s="1">
        <f t="shared" si="0"/>
        <v>4</v>
      </c>
    </row>
    <row r="14" spans="1:15" ht="24.95" customHeight="1">
      <c r="A14" s="1" t="s">
        <v>6</v>
      </c>
      <c r="B14" s="1">
        <v>72</v>
      </c>
      <c r="C14" s="1">
        <f t="shared" si="0"/>
        <v>4</v>
      </c>
    </row>
    <row r="15" spans="1:15" ht="24.95" customHeight="1">
      <c r="A15" s="1" t="s">
        <v>6</v>
      </c>
      <c r="B15" s="1">
        <v>76</v>
      </c>
      <c r="C15" s="1">
        <f t="shared" si="0"/>
        <v>4</v>
      </c>
    </row>
    <row r="16" spans="1:15" ht="24.95" customHeight="1">
      <c r="A16" s="1" t="s">
        <v>6</v>
      </c>
      <c r="B16" s="1">
        <v>80</v>
      </c>
      <c r="C16" s="1">
        <f t="shared" si="0"/>
        <v>4</v>
      </c>
    </row>
    <row r="17" spans="1:3" ht="24.95" customHeight="1">
      <c r="A17" s="1" t="s">
        <v>6</v>
      </c>
      <c r="B17" s="1">
        <v>84</v>
      </c>
      <c r="C17" s="1">
        <f t="shared" si="0"/>
        <v>4</v>
      </c>
    </row>
    <row r="18" spans="1:3" ht="24.95" customHeight="1">
      <c r="A18" s="1" t="s">
        <v>6</v>
      </c>
      <c r="B18" s="1">
        <v>88</v>
      </c>
      <c r="C18" s="1">
        <f t="shared" si="0"/>
        <v>4</v>
      </c>
    </row>
    <row r="19" spans="1:3" ht="24.95" customHeight="1">
      <c r="A19" s="1" t="s">
        <v>6</v>
      </c>
      <c r="B19" s="1">
        <v>92</v>
      </c>
      <c r="C19" s="1">
        <f t="shared" si="0"/>
        <v>4</v>
      </c>
    </row>
    <row r="20" spans="1:3" ht="24.95" customHeight="1">
      <c r="A20" s="1" t="s">
        <v>6</v>
      </c>
      <c r="B20" s="1">
        <v>96</v>
      </c>
      <c r="C20" s="1">
        <f t="shared" si="0"/>
        <v>4</v>
      </c>
    </row>
    <row r="21" spans="1:3" ht="24.95" customHeight="1">
      <c r="A21" s="1" t="s">
        <v>6</v>
      </c>
      <c r="B21" s="1">
        <v>100</v>
      </c>
      <c r="C21" s="1">
        <f t="shared" si="0"/>
        <v>4</v>
      </c>
    </row>
    <row r="22" spans="1:3" ht="24.95" customHeight="1">
      <c r="A22" s="1" t="s">
        <v>5</v>
      </c>
      <c r="B22" s="1">
        <v>100</v>
      </c>
      <c r="C22" s="1">
        <f t="shared" si="0"/>
        <v>0</v>
      </c>
    </row>
    <row r="23" spans="1:3" ht="24.95" customHeight="1">
      <c r="A23" s="1" t="s">
        <v>5</v>
      </c>
      <c r="B23" s="1">
        <v>104</v>
      </c>
      <c r="C23" s="1">
        <f t="shared" si="0"/>
        <v>4</v>
      </c>
    </row>
    <row r="24" spans="1:3" ht="24.95" customHeight="1">
      <c r="A24" s="1" t="s">
        <v>5</v>
      </c>
      <c r="B24" s="1">
        <v>108</v>
      </c>
      <c r="C24" s="1">
        <f t="shared" si="0"/>
        <v>4</v>
      </c>
    </row>
    <row r="25" spans="1:3" ht="24.95" customHeight="1">
      <c r="A25" s="1" t="s">
        <v>5</v>
      </c>
      <c r="B25" s="1">
        <v>112</v>
      </c>
      <c r="C25" s="1">
        <f t="shared" si="0"/>
        <v>4</v>
      </c>
    </row>
    <row r="26" spans="1:3" ht="24.95" customHeight="1">
      <c r="A26" s="1" t="s">
        <v>5</v>
      </c>
      <c r="B26" s="1">
        <v>116</v>
      </c>
      <c r="C26" s="1">
        <f t="shared" si="0"/>
        <v>4</v>
      </c>
    </row>
    <row r="27" spans="1:3" ht="24.95" customHeight="1">
      <c r="A27" s="1" t="s">
        <v>5</v>
      </c>
      <c r="B27" s="1">
        <v>120</v>
      </c>
      <c r="C27" s="1">
        <f t="shared" si="0"/>
        <v>4</v>
      </c>
    </row>
    <row r="28" spans="1:3" ht="24.95" customHeight="1">
      <c r="A28" s="1" t="s">
        <v>5</v>
      </c>
      <c r="B28" s="1">
        <v>124</v>
      </c>
      <c r="C28" s="1">
        <f t="shared" si="0"/>
        <v>4</v>
      </c>
    </row>
    <row r="29" spans="1:3" ht="24.95" customHeight="1">
      <c r="A29" s="1" t="s">
        <v>5</v>
      </c>
      <c r="B29" s="1">
        <v>128</v>
      </c>
      <c r="C29" s="1">
        <f t="shared" si="0"/>
        <v>4</v>
      </c>
    </row>
    <row r="30" spans="1:3" ht="24.95" customHeight="1">
      <c r="A30" s="1" t="s">
        <v>5</v>
      </c>
      <c r="B30" s="1">
        <v>132</v>
      </c>
      <c r="C30" s="1">
        <f t="shared" si="0"/>
        <v>4</v>
      </c>
    </row>
    <row r="31" spans="1:3" ht="24.95" customHeight="1">
      <c r="A31" s="1" t="s">
        <v>5</v>
      </c>
      <c r="B31" s="1">
        <v>136</v>
      </c>
      <c r="C31" s="1">
        <f t="shared" si="0"/>
        <v>4</v>
      </c>
    </row>
    <row r="32" spans="1:3" ht="24.95" customHeight="1">
      <c r="A32" s="1" t="s">
        <v>5</v>
      </c>
      <c r="B32" s="1">
        <v>138</v>
      </c>
      <c r="C32" s="1">
        <f t="shared" si="0"/>
        <v>2</v>
      </c>
    </row>
    <row r="33" spans="1:3" ht="24.95" customHeight="1">
      <c r="A33" s="1" t="s">
        <v>5</v>
      </c>
      <c r="B33" s="1">
        <v>140</v>
      </c>
      <c r="C33" s="1">
        <f t="shared" si="0"/>
        <v>2</v>
      </c>
    </row>
    <row r="34" spans="1:3" ht="24.95" customHeight="1">
      <c r="A34" s="1" t="s">
        <v>5</v>
      </c>
      <c r="B34" s="1">
        <v>142</v>
      </c>
      <c r="C34" s="1">
        <f t="shared" si="0"/>
        <v>2</v>
      </c>
    </row>
    <row r="35" spans="1:3" ht="24.95" customHeight="1">
      <c r="A35" s="1" t="s">
        <v>5</v>
      </c>
      <c r="B35" s="1">
        <v>144</v>
      </c>
      <c r="C35" s="1">
        <f t="shared" si="0"/>
        <v>2</v>
      </c>
    </row>
    <row r="36" spans="1:3" ht="24.95" customHeight="1">
      <c r="A36" s="1" t="s">
        <v>6</v>
      </c>
      <c r="B36" s="1">
        <v>146</v>
      </c>
      <c r="C36" s="1">
        <f t="shared" si="0"/>
        <v>2</v>
      </c>
    </row>
    <row r="37" spans="1:3" ht="24.95" customHeight="1">
      <c r="A37" s="1" t="s">
        <v>6</v>
      </c>
      <c r="B37" s="1">
        <v>150</v>
      </c>
      <c r="C37" s="1">
        <f t="shared" si="0"/>
        <v>4</v>
      </c>
    </row>
    <row r="38" spans="1:3" ht="24.95" customHeight="1">
      <c r="A38" s="1" t="s">
        <v>5</v>
      </c>
      <c r="B38" s="1">
        <v>154</v>
      </c>
      <c r="C38" s="1">
        <f t="shared" si="0"/>
        <v>4</v>
      </c>
    </row>
    <row r="39" spans="1:3" ht="24.95" customHeight="1">
      <c r="A39" s="1" t="s">
        <v>5</v>
      </c>
      <c r="B39" s="1">
        <v>156</v>
      </c>
      <c r="C39" s="1">
        <f t="shared" si="0"/>
        <v>2</v>
      </c>
    </row>
    <row r="40" spans="1:3" ht="24.95" customHeight="1">
      <c r="A40" s="1" t="s">
        <v>6</v>
      </c>
      <c r="B40" s="1">
        <v>300</v>
      </c>
      <c r="C40" s="1">
        <f t="shared" si="0"/>
        <v>144</v>
      </c>
    </row>
  </sheetData>
  <phoneticPr fontId="30" type="noConversion"/>
  <dataValidations count="1">
    <dataValidation type="custom" allowBlank="1" showInputMessage="1" showErrorMessage="1" sqref="N1" xr:uid="{5C5FBAD0-2874-451C-9172-D8D6CFD1D3F3}">
      <formula1>COUNTIF(F:F,N1)=1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F15" sqref="F15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34" customWidth="1"/>
    <col min="5" max="5" width="6.625" style="2" customWidth="1"/>
    <col min="6" max="6" width="26.75" style="2" customWidth="1"/>
    <col min="7" max="16384" width="9" style="2"/>
  </cols>
  <sheetData>
    <row r="1" spans="1:6" s="50" customFormat="1" ht="24.95" customHeight="1">
      <c r="A1" s="47" t="s">
        <v>1325</v>
      </c>
      <c r="B1" s="63" t="s">
        <v>1469</v>
      </c>
      <c r="C1" s="63" t="s">
        <v>1470</v>
      </c>
      <c r="D1" s="48" t="s">
        <v>1297</v>
      </c>
      <c r="E1" s="49" t="s">
        <v>1298</v>
      </c>
      <c r="F1" s="48" t="s">
        <v>1315</v>
      </c>
    </row>
    <row r="2" spans="1:6" ht="24.95" customHeight="1">
      <c r="A2" s="42" t="s">
        <v>1299</v>
      </c>
      <c r="B2" s="43" t="s">
        <v>1300</v>
      </c>
      <c r="C2" s="43" t="s">
        <v>1278</v>
      </c>
      <c r="D2" s="51" t="s">
        <v>1301</v>
      </c>
      <c r="E2" s="44" t="s">
        <v>1302</v>
      </c>
      <c r="F2" s="41" t="s">
        <v>1317</v>
      </c>
    </row>
    <row r="3" spans="1:6" ht="24.95" customHeight="1">
      <c r="A3" s="42" t="s">
        <v>1329</v>
      </c>
      <c r="B3" s="43" t="s">
        <v>1307</v>
      </c>
      <c r="C3" s="43" t="s">
        <v>558</v>
      </c>
      <c r="D3" s="51" t="s">
        <v>933</v>
      </c>
      <c r="E3" s="44" t="s">
        <v>1302</v>
      </c>
      <c r="F3" s="41" t="s">
        <v>1317</v>
      </c>
    </row>
    <row r="4" spans="1:6" ht="24.95" customHeight="1">
      <c r="A4" s="42" t="s">
        <v>1330</v>
      </c>
      <c r="B4" s="43" t="s">
        <v>1308</v>
      </c>
      <c r="C4" s="43" t="s">
        <v>559</v>
      </c>
      <c r="D4" s="51" t="s">
        <v>934</v>
      </c>
      <c r="E4" s="44" t="s">
        <v>1302</v>
      </c>
      <c r="F4" s="41" t="s">
        <v>1317</v>
      </c>
    </row>
    <row r="5" spans="1:6" ht="14.25">
      <c r="A5" s="42" t="s">
        <v>1331</v>
      </c>
      <c r="B5" s="43" t="s">
        <v>1309</v>
      </c>
      <c r="C5" s="43" t="s">
        <v>1314</v>
      </c>
      <c r="D5" s="51" t="s">
        <v>773</v>
      </c>
      <c r="E5" s="44" t="s">
        <v>1302</v>
      </c>
      <c r="F5" s="62" t="s">
        <v>1316</v>
      </c>
    </row>
    <row r="6" spans="1:6" ht="24.95" customHeight="1">
      <c r="A6" s="42" t="s">
        <v>1303</v>
      </c>
      <c r="B6" s="43" t="s">
        <v>1310</v>
      </c>
      <c r="C6" s="43" t="s">
        <v>562</v>
      </c>
      <c r="D6" s="51" t="s">
        <v>935</v>
      </c>
      <c r="E6" s="44" t="s">
        <v>1302</v>
      </c>
      <c r="F6" s="38" t="s">
        <v>1318</v>
      </c>
    </row>
    <row r="7" spans="1:6" ht="24.95" customHeight="1">
      <c r="A7" s="42" t="s">
        <v>1304</v>
      </c>
      <c r="B7" s="43" t="s">
        <v>1311</v>
      </c>
      <c r="C7" s="43" t="s">
        <v>563</v>
      </c>
      <c r="D7" s="51" t="s">
        <v>776</v>
      </c>
      <c r="E7" s="44" t="s">
        <v>1302</v>
      </c>
      <c r="F7" s="38" t="s">
        <v>1319</v>
      </c>
    </row>
    <row r="8" spans="1:6" ht="24.95" customHeight="1">
      <c r="A8" s="42" t="s">
        <v>1305</v>
      </c>
      <c r="B8" s="43" t="s">
        <v>1312</v>
      </c>
      <c r="C8" s="43" t="s">
        <v>779</v>
      </c>
      <c r="D8" s="51" t="s">
        <v>778</v>
      </c>
      <c r="E8" s="44" t="s">
        <v>1302</v>
      </c>
      <c r="F8" s="38" t="s">
        <v>1320</v>
      </c>
    </row>
    <row r="9" spans="1:6" ht="28.5">
      <c r="A9" s="42" t="s">
        <v>1306</v>
      </c>
      <c r="B9" s="43" t="s">
        <v>1313</v>
      </c>
      <c r="C9" s="43" t="s">
        <v>564</v>
      </c>
      <c r="D9" s="51" t="s">
        <v>781</v>
      </c>
      <c r="E9" s="44" t="s">
        <v>1302</v>
      </c>
      <c r="F9" s="52" t="s">
        <v>1328</v>
      </c>
    </row>
    <row r="10" spans="1:6" ht="24.95" customHeight="1">
      <c r="A10" s="64" t="s">
        <v>1471</v>
      </c>
      <c r="B10" s="38" t="s">
        <v>13</v>
      </c>
      <c r="C10" s="38" t="s">
        <v>1324</v>
      </c>
      <c r="D10" s="40" t="s">
        <v>936</v>
      </c>
      <c r="E10" s="46" t="s">
        <v>1323</v>
      </c>
      <c r="F10" s="38"/>
    </row>
    <row r="11" spans="1:6" ht="24.95" customHeight="1">
      <c r="A11" s="45" t="s">
        <v>1326</v>
      </c>
      <c r="B11" s="38" t="s">
        <v>26</v>
      </c>
      <c r="C11" s="38" t="s">
        <v>571</v>
      </c>
      <c r="D11" s="40" t="s">
        <v>1269</v>
      </c>
      <c r="E11" s="46" t="s">
        <v>1323</v>
      </c>
      <c r="F11" s="38"/>
    </row>
    <row r="12" spans="1:6" ht="24.95" customHeight="1">
      <c r="A12" s="45" t="s">
        <v>1327</v>
      </c>
      <c r="B12" s="38" t="s">
        <v>44</v>
      </c>
      <c r="C12" s="38" t="s">
        <v>572</v>
      </c>
      <c r="D12" s="40" t="s">
        <v>784</v>
      </c>
      <c r="E12" s="46" t="s">
        <v>1323</v>
      </c>
      <c r="F12" s="38"/>
    </row>
    <row r="13" spans="1:6" ht="24.95" customHeight="1">
      <c r="A13" s="45" t="s">
        <v>1321</v>
      </c>
      <c r="B13" s="38" t="s">
        <v>59</v>
      </c>
      <c r="C13" s="38" t="s">
        <v>573</v>
      </c>
      <c r="D13" s="40" t="s">
        <v>786</v>
      </c>
      <c r="E13" s="46" t="s">
        <v>1323</v>
      </c>
      <c r="F13" s="38"/>
    </row>
    <row r="14" spans="1:6" ht="24.95" customHeight="1">
      <c r="A14" s="45" t="s">
        <v>788</v>
      </c>
      <c r="B14" s="38" t="s">
        <v>69</v>
      </c>
      <c r="C14" s="38" t="s">
        <v>574</v>
      </c>
      <c r="D14" s="40" t="s">
        <v>1242</v>
      </c>
      <c r="E14" s="46" t="s">
        <v>1323</v>
      </c>
      <c r="F14" s="38"/>
    </row>
    <row r="15" spans="1:6" ht="24.95" customHeight="1">
      <c r="A15" s="45" t="s">
        <v>76</v>
      </c>
      <c r="B15" s="38" t="s">
        <v>78</v>
      </c>
      <c r="C15" s="38" t="s">
        <v>575</v>
      </c>
      <c r="D15" s="40" t="s">
        <v>1243</v>
      </c>
      <c r="E15" s="46" t="s">
        <v>1323</v>
      </c>
      <c r="F15" s="38"/>
    </row>
    <row r="16" spans="1:6" ht="24.95" customHeight="1">
      <c r="A16" s="45" t="s">
        <v>87</v>
      </c>
      <c r="B16" s="38" t="s">
        <v>89</v>
      </c>
      <c r="C16" s="38" t="s">
        <v>576</v>
      </c>
      <c r="D16" s="40" t="s">
        <v>1244</v>
      </c>
      <c r="E16" s="46" t="s">
        <v>1323</v>
      </c>
      <c r="F16" s="38"/>
    </row>
    <row r="17" spans="1:6" ht="24.95" customHeight="1">
      <c r="A17" s="42" t="s">
        <v>1322</v>
      </c>
      <c r="B17" s="43" t="s">
        <v>97</v>
      </c>
      <c r="C17" s="38" t="s">
        <v>577</v>
      </c>
      <c r="D17" s="51" t="s">
        <v>790</v>
      </c>
      <c r="E17" s="46" t="s">
        <v>1323</v>
      </c>
      <c r="F17" s="43"/>
    </row>
    <row r="18" spans="1:6" ht="24.95" customHeight="1">
      <c r="A18" s="45" t="s">
        <v>1335</v>
      </c>
      <c r="B18" s="38" t="s">
        <v>1215</v>
      </c>
      <c r="C18" s="38"/>
      <c r="D18" s="40" t="s">
        <v>1260</v>
      </c>
      <c r="E18" s="46" t="s">
        <v>1332</v>
      </c>
      <c r="F18" s="38" t="s">
        <v>1334</v>
      </c>
    </row>
    <row r="19" spans="1:6" ht="24.95" customHeight="1">
      <c r="A19" s="42" t="s">
        <v>1336</v>
      </c>
      <c r="B19" s="43" t="s">
        <v>1217</v>
      </c>
      <c r="C19" s="38"/>
      <c r="D19" s="51" t="s">
        <v>1261</v>
      </c>
      <c r="E19" s="44" t="s">
        <v>1332</v>
      </c>
      <c r="F19" s="38" t="s">
        <v>1339</v>
      </c>
    </row>
    <row r="20" spans="1:6" ht="24.95" customHeight="1">
      <c r="A20" s="45" t="s">
        <v>1337</v>
      </c>
      <c r="B20" s="38" t="s">
        <v>1211</v>
      </c>
      <c r="C20" s="38"/>
      <c r="D20" s="40" t="s">
        <v>1262</v>
      </c>
      <c r="E20" s="46" t="s">
        <v>1333</v>
      </c>
      <c r="F20" s="38" t="s">
        <v>1340</v>
      </c>
    </row>
    <row r="21" spans="1:6" ht="24.95" customHeight="1">
      <c r="A21" s="42" t="s">
        <v>1338</v>
      </c>
      <c r="B21" s="43" t="s">
        <v>1213</v>
      </c>
      <c r="C21" s="43"/>
      <c r="D21" s="51" t="s">
        <v>1263</v>
      </c>
      <c r="E21" s="44" t="s">
        <v>1333</v>
      </c>
      <c r="F21" s="38" t="s">
        <v>1341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H17"/>
  <sheetViews>
    <sheetView tabSelected="1" zoomScaleSheetLayoutView="100" workbookViewId="0">
      <selection activeCell="J3" sqref="J3"/>
    </sheetView>
  </sheetViews>
  <sheetFormatPr defaultColWidth="8.75" defaultRowHeight="24.95" customHeight="1"/>
  <cols>
    <col min="1" max="1" width="4.25" style="2" customWidth="1"/>
    <col min="2" max="2" width="32.5" style="2" hidden="1" customWidth="1"/>
    <col min="3" max="3" width="23.875" style="2" hidden="1" customWidth="1"/>
    <col min="4" max="4" width="28" style="2" hidden="1" customWidth="1"/>
    <col min="5" max="5" width="19.375" style="2" bestFit="1" customWidth="1"/>
    <col min="6" max="6" width="16.375" customWidth="1"/>
    <col min="7" max="7" width="18.375" customWidth="1"/>
    <col min="8" max="8" width="21.625" style="57" customWidth="1"/>
    <col min="9" max="9" width="10.5" style="2" bestFit="1" customWidth="1"/>
    <col min="10" max="10" width="17.25" style="2" bestFit="1" customWidth="1"/>
    <col min="11" max="16384" width="8.75" style="2"/>
  </cols>
  <sheetData>
    <row r="1" spans="2:8" s="50" customFormat="1" ht="40.5">
      <c r="B1" s="86" t="s">
        <v>1343</v>
      </c>
      <c r="C1" s="86" t="s">
        <v>536</v>
      </c>
      <c r="D1" s="86" t="s">
        <v>1345</v>
      </c>
      <c r="E1" s="86" t="s">
        <v>523</v>
      </c>
      <c r="F1" s="98" t="s">
        <v>1344</v>
      </c>
      <c r="G1" s="86" t="s">
        <v>1595</v>
      </c>
      <c r="H1" s="86" t="s">
        <v>1376</v>
      </c>
    </row>
    <row r="2" spans="2:8" ht="24.95" customHeight="1">
      <c r="B2" s="54" t="s">
        <v>326</v>
      </c>
      <c r="C2" s="1" t="s">
        <v>1356</v>
      </c>
      <c r="D2" s="54" t="s">
        <v>1346</v>
      </c>
      <c r="E2" s="1" t="s">
        <v>1357</v>
      </c>
      <c r="F2" s="53">
        <v>40061.08</v>
      </c>
      <c r="G2" s="87" t="s">
        <v>1604</v>
      </c>
      <c r="H2" s="54" t="s">
        <v>1394</v>
      </c>
    </row>
    <row r="3" spans="2:8" ht="24.95" customHeight="1">
      <c r="B3" s="54" t="s">
        <v>330</v>
      </c>
      <c r="C3" s="1" t="s">
        <v>1358</v>
      </c>
      <c r="D3" s="54" t="s">
        <v>1347</v>
      </c>
      <c r="E3" s="1" t="s">
        <v>978</v>
      </c>
      <c r="F3" s="53">
        <v>40061.089999999997</v>
      </c>
      <c r="G3" s="87" t="s">
        <v>1604</v>
      </c>
      <c r="H3" s="54" t="s">
        <v>1394</v>
      </c>
    </row>
    <row r="4" spans="2:8" ht="24.95" customHeight="1">
      <c r="B4" s="54" t="s">
        <v>334</v>
      </c>
      <c r="C4" s="1" t="s">
        <v>1359</v>
      </c>
      <c r="D4" s="54" t="s">
        <v>1348</v>
      </c>
      <c r="E4" s="1" t="s">
        <v>979</v>
      </c>
      <c r="F4" s="58">
        <v>40061.1</v>
      </c>
      <c r="G4" s="89" t="s">
        <v>1604</v>
      </c>
      <c r="H4" s="54" t="s">
        <v>1394</v>
      </c>
    </row>
    <row r="5" spans="2:8" ht="24.95" customHeight="1">
      <c r="B5" s="54" t="s">
        <v>338</v>
      </c>
      <c r="C5" s="1" t="s">
        <v>1360</v>
      </c>
      <c r="D5" s="54" t="s">
        <v>1349</v>
      </c>
      <c r="E5" s="1" t="s">
        <v>980</v>
      </c>
      <c r="F5" s="53">
        <v>40061.109999999986</v>
      </c>
      <c r="G5" s="87" t="s">
        <v>1604</v>
      </c>
      <c r="H5" s="54" t="s">
        <v>1394</v>
      </c>
    </row>
    <row r="6" spans="2:8" ht="24.95" customHeight="1">
      <c r="B6" s="54" t="s">
        <v>342</v>
      </c>
      <c r="C6" s="1" t="s">
        <v>1361</v>
      </c>
      <c r="D6" s="54" t="s">
        <v>1350</v>
      </c>
      <c r="E6" s="54" t="s">
        <v>1363</v>
      </c>
      <c r="F6" s="53">
        <v>40061.119999999981</v>
      </c>
      <c r="G6" s="87" t="s">
        <v>1604</v>
      </c>
      <c r="H6" s="54" t="s">
        <v>1394</v>
      </c>
    </row>
    <row r="7" spans="2:8" ht="24.95" customHeight="1">
      <c r="B7" s="54" t="s">
        <v>345</v>
      </c>
      <c r="C7" s="1" t="s">
        <v>981</v>
      </c>
      <c r="D7" s="54" t="s">
        <v>1351</v>
      </c>
      <c r="E7" s="54" t="s">
        <v>1364</v>
      </c>
      <c r="F7" s="53">
        <v>40061.129999999976</v>
      </c>
      <c r="G7" s="87" t="s">
        <v>1604</v>
      </c>
      <c r="H7" s="54" t="s">
        <v>1395</v>
      </c>
    </row>
    <row r="8" spans="2:8" ht="24.95" customHeight="1">
      <c r="B8" s="54" t="s">
        <v>348</v>
      </c>
      <c r="C8" s="1" t="s">
        <v>982</v>
      </c>
      <c r="D8" s="54" t="s">
        <v>1352</v>
      </c>
      <c r="E8" s="54" t="s">
        <v>1365</v>
      </c>
      <c r="F8" s="53">
        <v>40061.13999999997</v>
      </c>
      <c r="G8" s="87" t="s">
        <v>1604</v>
      </c>
      <c r="H8" s="54" t="s">
        <v>1395</v>
      </c>
    </row>
    <row r="9" spans="2:8" ht="24.95" customHeight="1">
      <c r="B9" s="54" t="s">
        <v>351</v>
      </c>
      <c r="C9" s="1" t="s">
        <v>983</v>
      </c>
      <c r="D9" s="54" t="s">
        <v>1353</v>
      </c>
      <c r="E9" s="54" t="s">
        <v>1366</v>
      </c>
      <c r="F9" s="53">
        <v>40061.149999999965</v>
      </c>
      <c r="G9" s="87" t="s">
        <v>1604</v>
      </c>
      <c r="H9" s="54" t="s">
        <v>1395</v>
      </c>
    </row>
    <row r="10" spans="2:8" ht="24.95" customHeight="1">
      <c r="B10" s="54" t="s">
        <v>354</v>
      </c>
      <c r="C10" s="1" t="s">
        <v>984</v>
      </c>
      <c r="D10" s="54" t="s">
        <v>1354</v>
      </c>
      <c r="E10" s="54" t="s">
        <v>1367</v>
      </c>
      <c r="F10" s="56">
        <v>40061</v>
      </c>
      <c r="G10" s="90" t="s">
        <v>1604</v>
      </c>
      <c r="H10" s="54" t="s">
        <v>1395</v>
      </c>
    </row>
    <row r="11" spans="2:8" ht="24.95" customHeight="1">
      <c r="B11" s="54" t="s">
        <v>358</v>
      </c>
      <c r="C11" s="1" t="s">
        <v>985</v>
      </c>
      <c r="D11" s="54" t="s">
        <v>1355</v>
      </c>
      <c r="E11" s="54" t="s">
        <v>1368</v>
      </c>
      <c r="F11" s="55">
        <v>40061.1</v>
      </c>
      <c r="G11" s="91" t="s">
        <v>1604</v>
      </c>
      <c r="H11" s="54" t="s">
        <v>1395</v>
      </c>
    </row>
    <row r="12" spans="2:8" ht="24.95" customHeight="1">
      <c r="B12" s="54" t="s">
        <v>213</v>
      </c>
      <c r="C12" s="54" t="s">
        <v>1386</v>
      </c>
      <c r="D12" s="54" t="s">
        <v>1378</v>
      </c>
      <c r="E12" s="54" t="s">
        <v>1370</v>
      </c>
      <c r="F12" s="55">
        <v>40071</v>
      </c>
      <c r="G12" s="55" t="s">
        <v>1601</v>
      </c>
      <c r="H12" s="54" t="s">
        <v>1394</v>
      </c>
    </row>
    <row r="13" spans="2:8" ht="24.95" customHeight="1">
      <c r="B13" s="54" t="s">
        <v>217</v>
      </c>
      <c r="C13" s="54" t="s">
        <v>1388</v>
      </c>
      <c r="D13" s="54" t="s">
        <v>1380</v>
      </c>
      <c r="E13" s="54" t="s">
        <v>1372</v>
      </c>
      <c r="F13" s="55">
        <v>40073</v>
      </c>
      <c r="G13" s="55" t="s">
        <v>1601</v>
      </c>
      <c r="H13" s="54" t="s">
        <v>1394</v>
      </c>
    </row>
    <row r="14" spans="2:8" ht="24.95" customHeight="1">
      <c r="B14" s="54" t="s">
        <v>225</v>
      </c>
      <c r="C14" s="54" t="s">
        <v>1389</v>
      </c>
      <c r="D14" s="54" t="s">
        <v>1382</v>
      </c>
      <c r="E14" s="54" t="s">
        <v>1374</v>
      </c>
      <c r="F14" s="55">
        <v>40077</v>
      </c>
      <c r="G14" s="55" t="s">
        <v>1601</v>
      </c>
      <c r="H14" s="54" t="s">
        <v>1394</v>
      </c>
    </row>
    <row r="15" spans="2:8" ht="24.95" customHeight="1">
      <c r="B15" s="54" t="s">
        <v>229</v>
      </c>
      <c r="C15" s="78" t="s">
        <v>1391</v>
      </c>
      <c r="D15" s="54" t="s">
        <v>1384</v>
      </c>
      <c r="E15" s="54" t="s">
        <v>1375</v>
      </c>
      <c r="F15" s="55">
        <v>40191</v>
      </c>
      <c r="G15" s="55" t="s">
        <v>1601</v>
      </c>
      <c r="H15" s="78" t="s">
        <v>1394</v>
      </c>
    </row>
    <row r="16" spans="2:8" ht="28.5">
      <c r="B16" s="54"/>
      <c r="C16" s="54" t="s">
        <v>1362</v>
      </c>
      <c r="D16" s="54" t="str">
        <f>"VW"&amp;1500+2*(F16-40000-1)</f>
        <v>VW1898</v>
      </c>
      <c r="E16" s="54" t="s">
        <v>1373</v>
      </c>
      <c r="F16" s="55">
        <v>40200</v>
      </c>
      <c r="G16" s="55" t="s">
        <v>1599</v>
      </c>
      <c r="H16" s="97" t="s">
        <v>1393</v>
      </c>
    </row>
    <row r="17" spans="2:8" ht="28.5">
      <c r="B17" s="54"/>
      <c r="C17" s="54" t="s">
        <v>1396</v>
      </c>
      <c r="D17" s="54" t="str">
        <f>"VW"&amp;1500+2*(F17-40000-1)</f>
        <v>VW1918</v>
      </c>
      <c r="E17" s="54" t="s">
        <v>1392</v>
      </c>
      <c r="F17" s="55">
        <v>40210</v>
      </c>
      <c r="G17" s="55" t="s">
        <v>1599</v>
      </c>
      <c r="H17" s="97" t="s">
        <v>1393</v>
      </c>
    </row>
  </sheetData>
  <phoneticPr fontId="4" type="noConversion"/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AC68D8-FEAE-469D-AB8B-3DBEB257BC9A}">
          <x14:formula1>
            <xm:f>数据项!$G:$G</xm:f>
          </x14:formula1>
          <xm:sqref>G1:G1048576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8761D-8897-4103-9A07-B5EE77259803}">
  <dimension ref="A1:J21"/>
  <sheetViews>
    <sheetView topLeftCell="A7" zoomScaleNormal="100" workbookViewId="0">
      <selection activeCell="F3" sqref="F3"/>
    </sheetView>
  </sheetViews>
  <sheetFormatPr defaultRowHeight="24.95" customHeight="1"/>
  <cols>
    <col min="1" max="1" width="6.125" style="2" customWidth="1"/>
    <col min="2" max="2" width="9.75" style="2" customWidth="1"/>
    <col min="3" max="3" width="10.625" customWidth="1"/>
    <col min="4" max="5" width="35.625" style="34" customWidth="1"/>
    <col min="6" max="6" width="26" style="74" customWidth="1"/>
    <col min="7" max="7" width="16.5" style="2" customWidth="1"/>
    <col min="8" max="8" width="9" style="2"/>
    <col min="9" max="9" width="12" style="2" customWidth="1"/>
    <col min="10" max="10" width="5.625" style="34" customWidth="1"/>
    <col min="11" max="16384" width="9" style="2"/>
  </cols>
  <sheetData>
    <row r="1" spans="1:10" s="4" customFormat="1" ht="35.1" customHeight="1">
      <c r="A1" s="19" t="s">
        <v>1609</v>
      </c>
      <c r="B1" s="19" t="s">
        <v>1605</v>
      </c>
      <c r="C1" s="19" t="s">
        <v>1511</v>
      </c>
      <c r="D1" s="19" t="s">
        <v>1594</v>
      </c>
      <c r="E1" s="94" t="s">
        <v>1475</v>
      </c>
      <c r="F1" s="19" t="s">
        <v>1476</v>
      </c>
    </row>
    <row r="2" spans="1:10" s="36" customFormat="1" ht="57">
      <c r="A2" s="92">
        <f t="shared" ref="A2:A19" si="0">ROW()-1</f>
        <v>1</v>
      </c>
      <c r="B2" s="92" t="s">
        <v>1509</v>
      </c>
      <c r="C2" s="79" t="s">
        <v>1613</v>
      </c>
      <c r="D2" s="79" t="s">
        <v>1612</v>
      </c>
      <c r="E2" s="79" t="s">
        <v>1617</v>
      </c>
      <c r="F2" s="92" t="s">
        <v>1611</v>
      </c>
      <c r="I2" s="81"/>
    </row>
    <row r="3" spans="1:10" ht="57">
      <c r="A3" s="66">
        <f t="shared" si="0"/>
        <v>2</v>
      </c>
      <c r="B3" s="66" t="s">
        <v>1478</v>
      </c>
      <c r="C3" s="79" t="s">
        <v>1613</v>
      </c>
      <c r="D3" s="79" t="s">
        <v>1614</v>
      </c>
      <c r="E3" s="79" t="s">
        <v>1616</v>
      </c>
      <c r="F3" s="93" t="s">
        <v>1610</v>
      </c>
      <c r="I3" s="80"/>
      <c r="J3" s="2"/>
    </row>
    <row r="4" spans="1:10" ht="85.5">
      <c r="A4" s="68">
        <f t="shared" si="0"/>
        <v>3</v>
      </c>
      <c r="B4" s="68" t="s">
        <v>1510</v>
      </c>
      <c r="C4" s="79" t="s">
        <v>1615</v>
      </c>
      <c r="D4" s="79" t="s">
        <v>1618</v>
      </c>
      <c r="E4" s="79" t="s">
        <v>1619</v>
      </c>
      <c r="F4" s="69" t="s">
        <v>1477</v>
      </c>
      <c r="I4" s="34"/>
      <c r="J4" s="2"/>
    </row>
    <row r="5" spans="1:10" ht="114">
      <c r="A5" s="69">
        <f t="shared" si="0"/>
        <v>4</v>
      </c>
      <c r="B5" s="69" t="s">
        <v>1478</v>
      </c>
      <c r="C5" s="79" t="s">
        <v>1615</v>
      </c>
      <c r="D5" s="79" t="s">
        <v>1620</v>
      </c>
      <c r="E5" s="79" t="s">
        <v>1621</v>
      </c>
      <c r="F5" s="69" t="s">
        <v>1477</v>
      </c>
      <c r="I5" s="34"/>
      <c r="J5" s="2"/>
    </row>
    <row r="6" spans="1:10" ht="28.5">
      <c r="A6" s="69">
        <f>ROW()-1</f>
        <v>5</v>
      </c>
      <c r="B6" s="69" t="s">
        <v>1509</v>
      </c>
      <c r="C6" s="79" t="s">
        <v>1626</v>
      </c>
      <c r="D6" s="79" t="s">
        <v>1627</v>
      </c>
      <c r="E6" s="79" t="s">
        <v>1628</v>
      </c>
      <c r="F6" s="92" t="s">
        <v>1611</v>
      </c>
      <c r="I6" s="34"/>
      <c r="J6" s="2"/>
    </row>
    <row r="7" spans="1:10" ht="42.75">
      <c r="A7" s="96">
        <f>ROW()-1</f>
        <v>6</v>
      </c>
      <c r="B7" s="69" t="s">
        <v>1509</v>
      </c>
      <c r="C7" s="79" t="s">
        <v>1629</v>
      </c>
      <c r="D7" s="79" t="s">
        <v>1630</v>
      </c>
      <c r="E7" s="79" t="s">
        <v>1631</v>
      </c>
      <c r="F7" s="92" t="s">
        <v>1611</v>
      </c>
      <c r="I7" s="34"/>
      <c r="J7" s="2"/>
    </row>
    <row r="8" spans="1:10" ht="42.75">
      <c r="A8" s="68">
        <f t="shared" si="0"/>
        <v>7</v>
      </c>
      <c r="B8" s="68" t="s">
        <v>1510</v>
      </c>
      <c r="C8" s="73" t="s">
        <v>1479</v>
      </c>
      <c r="D8" s="79" t="s">
        <v>1623</v>
      </c>
      <c r="E8" s="79" t="s">
        <v>1622</v>
      </c>
      <c r="F8" s="95" t="s">
        <v>1610</v>
      </c>
      <c r="I8" s="34"/>
      <c r="J8" s="2"/>
    </row>
    <row r="9" spans="1:10" ht="42.75">
      <c r="A9" s="66">
        <f t="shared" si="0"/>
        <v>8</v>
      </c>
      <c r="B9" s="66" t="s">
        <v>1510</v>
      </c>
      <c r="C9" s="73" t="s">
        <v>1480</v>
      </c>
      <c r="D9" s="79" t="s">
        <v>1624</v>
      </c>
      <c r="E9" s="79" t="s">
        <v>1625</v>
      </c>
      <c r="F9" s="69" t="s">
        <v>1477</v>
      </c>
      <c r="I9" s="34"/>
      <c r="J9" s="2"/>
    </row>
    <row r="10" spans="1:10" ht="28.5">
      <c r="A10" s="66">
        <f t="shared" si="0"/>
        <v>9</v>
      </c>
      <c r="B10" s="66" t="s">
        <v>1510</v>
      </c>
      <c r="C10" s="73" t="s">
        <v>216</v>
      </c>
      <c r="D10" s="73" t="s">
        <v>1481</v>
      </c>
      <c r="E10" s="73" t="s">
        <v>1482</v>
      </c>
      <c r="F10" s="69" t="s">
        <v>1477</v>
      </c>
      <c r="I10" s="34"/>
      <c r="J10" s="2"/>
    </row>
    <row r="11" spans="1:10" ht="42.75">
      <c r="A11" s="66">
        <f t="shared" si="0"/>
        <v>10</v>
      </c>
      <c r="B11" s="66" t="s">
        <v>1509</v>
      </c>
      <c r="C11" s="73" t="s">
        <v>220</v>
      </c>
      <c r="D11" s="73" t="s">
        <v>1483</v>
      </c>
      <c r="E11" s="73" t="s">
        <v>1484</v>
      </c>
      <c r="F11" s="69" t="s">
        <v>1477</v>
      </c>
      <c r="I11" s="34"/>
      <c r="J11" s="2"/>
    </row>
    <row r="12" spans="1:10" ht="28.5">
      <c r="A12" s="66">
        <f t="shared" si="0"/>
        <v>11</v>
      </c>
      <c r="B12" s="66" t="s">
        <v>1509</v>
      </c>
      <c r="C12" s="73" t="s">
        <v>1485</v>
      </c>
      <c r="D12" s="73" t="s">
        <v>1486</v>
      </c>
      <c r="E12" s="73" t="s">
        <v>1487</v>
      </c>
      <c r="F12" s="69" t="s">
        <v>1477</v>
      </c>
      <c r="I12" s="34"/>
      <c r="J12" s="2"/>
    </row>
    <row r="13" spans="1:10" ht="24.95" customHeight="1">
      <c r="A13" s="66">
        <f t="shared" si="0"/>
        <v>12</v>
      </c>
      <c r="B13" s="66" t="s">
        <v>1509</v>
      </c>
      <c r="C13" s="73" t="s">
        <v>1488</v>
      </c>
      <c r="D13" s="73" t="s">
        <v>1489</v>
      </c>
      <c r="E13" s="73" t="s">
        <v>1490</v>
      </c>
      <c r="F13" s="69" t="s">
        <v>1477</v>
      </c>
      <c r="I13" s="34"/>
      <c r="J13" s="2"/>
    </row>
    <row r="14" spans="1:10" ht="14.25">
      <c r="A14" s="66">
        <f t="shared" si="0"/>
        <v>13</v>
      </c>
      <c r="B14" s="66" t="s">
        <v>1509</v>
      </c>
      <c r="C14" s="73" t="s">
        <v>1491</v>
      </c>
      <c r="D14" s="73" t="s">
        <v>1492</v>
      </c>
      <c r="E14" s="73" t="s">
        <v>1493</v>
      </c>
      <c r="F14" s="69" t="s">
        <v>1477</v>
      </c>
      <c r="I14" s="34"/>
      <c r="J14" s="2"/>
    </row>
    <row r="15" spans="1:10" ht="24.95" customHeight="1">
      <c r="A15" s="66">
        <f t="shared" si="0"/>
        <v>14</v>
      </c>
      <c r="B15" s="66" t="s">
        <v>1509</v>
      </c>
      <c r="C15" s="73" t="s">
        <v>1494</v>
      </c>
      <c r="D15" s="73" t="s">
        <v>1495</v>
      </c>
      <c r="E15" s="73" t="s">
        <v>1496</v>
      </c>
      <c r="F15" s="69" t="s">
        <v>1477</v>
      </c>
      <c r="I15" s="34"/>
      <c r="J15" s="2"/>
    </row>
    <row r="16" spans="1:10" ht="28.5">
      <c r="A16" s="66">
        <f t="shared" si="0"/>
        <v>15</v>
      </c>
      <c r="B16" s="66" t="s">
        <v>1509</v>
      </c>
      <c r="C16" s="73" t="s">
        <v>1497</v>
      </c>
      <c r="D16" s="73" t="s">
        <v>1498</v>
      </c>
      <c r="E16" s="73" t="s">
        <v>1499</v>
      </c>
      <c r="F16" s="69" t="s">
        <v>1477</v>
      </c>
      <c r="I16" s="34"/>
      <c r="J16" s="2"/>
    </row>
    <row r="17" spans="1:10" ht="24.95" customHeight="1">
      <c r="A17" s="66">
        <f t="shared" si="0"/>
        <v>16</v>
      </c>
      <c r="B17" s="66" t="s">
        <v>1509</v>
      </c>
      <c r="C17" s="73" t="s">
        <v>1500</v>
      </c>
      <c r="D17" s="73" t="s">
        <v>1501</v>
      </c>
      <c r="E17" s="73" t="s">
        <v>1502</v>
      </c>
      <c r="F17" s="69" t="s">
        <v>1477</v>
      </c>
      <c r="I17" s="34"/>
      <c r="J17" s="2"/>
    </row>
    <row r="18" spans="1:10" ht="71.25">
      <c r="A18" s="66">
        <f t="shared" si="0"/>
        <v>17</v>
      </c>
      <c r="B18" s="66" t="s">
        <v>1509</v>
      </c>
      <c r="C18" s="73" t="s">
        <v>1503</v>
      </c>
      <c r="D18" s="72" t="s">
        <v>1507</v>
      </c>
      <c r="E18" s="73" t="s">
        <v>1504</v>
      </c>
      <c r="F18" s="69" t="s">
        <v>1477</v>
      </c>
      <c r="I18" s="34"/>
      <c r="J18" s="2"/>
    </row>
    <row r="19" spans="1:10" ht="28.5">
      <c r="A19" s="66">
        <f t="shared" si="0"/>
        <v>18</v>
      </c>
      <c r="B19" s="66" t="s">
        <v>1509</v>
      </c>
      <c r="C19" s="73" t="s">
        <v>1505</v>
      </c>
      <c r="D19" s="72" t="s">
        <v>1508</v>
      </c>
      <c r="E19" s="73" t="s">
        <v>1506</v>
      </c>
      <c r="F19" s="69" t="s">
        <v>1477</v>
      </c>
      <c r="I19" s="34"/>
      <c r="J19" s="2"/>
    </row>
    <row r="20" spans="1:10" ht="24.95" customHeight="1">
      <c r="A20" s="71"/>
      <c r="B20" s="71"/>
      <c r="C20" s="2"/>
      <c r="D20" s="74"/>
      <c r="E20" s="74"/>
      <c r="G20" s="71"/>
    </row>
    <row r="21" spans="1:10" ht="24.95" customHeight="1">
      <c r="C21" s="2"/>
    </row>
  </sheetData>
  <sortState xmlns:xlrd2="http://schemas.microsoft.com/office/spreadsheetml/2017/richdata2" ref="B3:F3">
    <sortCondition ref="B1:B3"/>
  </sortState>
  <phoneticPr fontId="30" type="noConversion"/>
  <pageMargins left="0.70866141732283472" right="0.70866141732283472" top="0.74803149606299213" bottom="0.74803149606299213" header="0.31496062992125984" footer="0.31496062992125984"/>
  <pageSetup paperSize="9" scale="94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E4CD66-3636-41C8-B902-5872AFD6C9A7}">
          <x14:formula1>
            <xm:f>数据项!$I:$I</xm:f>
          </x14:formula1>
          <xm:sqref>B1:B1048576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</vt:i4>
      </vt:variant>
    </vt:vector>
  </HeadingPairs>
  <TitlesOfParts>
    <vt:vector size="9" baseType="lpstr">
      <vt:lpstr>端子1-原始</vt:lpstr>
      <vt:lpstr>数据项</vt:lpstr>
      <vt:lpstr>命名规范</vt:lpstr>
      <vt:lpstr>符号表</vt:lpstr>
      <vt:lpstr>地址校验</vt:lpstr>
      <vt:lpstr>IO分配表</vt:lpstr>
      <vt:lpstr>远程通讯</vt:lpstr>
      <vt:lpstr>项目测试</vt:lpstr>
      <vt:lpstr>项目测试!Print_Titles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2026-07-23T09:47:38Z</cp:lastPrinted>
  <dcterms:created xsi:type="dcterms:W3CDTF">2016-12-02T08:54:00Z</dcterms:created>
  <dcterms:modified xsi:type="dcterms:W3CDTF">2026-07-23T09:49:07Z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